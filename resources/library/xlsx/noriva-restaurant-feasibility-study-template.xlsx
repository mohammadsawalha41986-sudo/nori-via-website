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d261a81f6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 No-Go Summary" sheetId="1" r:id="R0cd0b65faaf24a88"/>
    <x:sheet xmlns:r="http://schemas.openxmlformats.org/officeDocument/2006/relationships" name="Assumptions" sheetId="2" r:id="Rd7f523dd4d494a56"/>
    <x:sheet xmlns:r="http://schemas.openxmlformats.org/officeDocument/2006/relationships" name="Project Overview" sheetId="3" r:id="R6f5a90ee99ed4063"/>
    <x:sheet xmlns:r="http://schemas.openxmlformats.org/officeDocument/2006/relationships" name="Concept" sheetId="4" r:id="R7c6134d4565e439a"/>
    <x:sheet xmlns:r="http://schemas.openxmlformats.org/officeDocument/2006/relationships" name="Market Assumptions" sheetId="5" r:id="R12d5c7224a0b434c"/>
    <x:sheet xmlns:r="http://schemas.openxmlformats.org/officeDocument/2006/relationships" name="Location" sheetId="6" r:id="Racf786195aea4536"/>
    <x:sheet xmlns:r="http://schemas.openxmlformats.org/officeDocument/2006/relationships" name="Target Customer" sheetId="7" r:id="Rb20eb0593a0d45b7"/>
    <x:sheet xmlns:r="http://schemas.openxmlformats.org/officeDocument/2006/relationships" name="Competitors" sheetId="8" r:id="R9c57139996af46ab"/>
    <x:sheet xmlns:r="http://schemas.openxmlformats.org/officeDocument/2006/relationships" name="Menu Mix" sheetId="9" r:id="Rc631509f97f74e96"/>
    <x:sheet xmlns:r="http://schemas.openxmlformats.org/officeDocument/2006/relationships" name="Revenue Assumptions" sheetId="10" r:id="Rb5004161eaf44392"/>
    <x:sheet xmlns:r="http://schemas.openxmlformats.org/officeDocument/2006/relationships" name="Sales Forecast" sheetId="11" r:id="Rcffb71d2994e43f9"/>
    <x:sheet xmlns:r="http://schemas.openxmlformats.org/officeDocument/2006/relationships" name="CAPEX" sheetId="12" r:id="R191703230ff44f54"/>
    <x:sheet xmlns:r="http://schemas.openxmlformats.org/officeDocument/2006/relationships" name="OPEX" sheetId="13" r:id="R1ea62387c8e4471e"/>
    <x:sheet xmlns:r="http://schemas.openxmlformats.org/officeDocument/2006/relationships" name="Payroll" sheetId="14" r:id="R62bc442c506543fd"/>
    <x:sheet xmlns:r="http://schemas.openxmlformats.org/officeDocument/2006/relationships" name="Food Cost" sheetId="15" r:id="R631e9ae7fd9447a3"/>
    <x:sheet xmlns:r="http://schemas.openxmlformats.org/officeDocument/2006/relationships" name="Delivery Economics" sheetId="16" r:id="R962807cd93c848f6"/>
    <x:sheet xmlns:r="http://schemas.openxmlformats.org/officeDocument/2006/relationships" name="P&amp;L" sheetId="17" r:id="R7a8c34ad784d4870"/>
    <x:sheet xmlns:r="http://schemas.openxmlformats.org/officeDocument/2006/relationships" name="Break-Even" sheetId="18" r:id="R8cd0d896729a477c"/>
    <x:sheet xmlns:r="http://schemas.openxmlformats.org/officeDocument/2006/relationships" name="Cash Flow" sheetId="19" r:id="Ra010b147a04743a9"/>
    <x:sheet xmlns:r="http://schemas.openxmlformats.org/officeDocument/2006/relationships" name="Scenario Analysis" sheetId="20" r:id="R51de97a87fe643e9"/>
    <x:sheet xmlns:r="http://schemas.openxmlformats.org/officeDocument/2006/relationships" name="KPIs" sheetId="21" r:id="Rc8911569cf8a409c"/>
    <x:sheet xmlns:r="http://schemas.openxmlformats.org/officeDocument/2006/relationships" name="Risks" sheetId="22" r:id="Rfc0717d445e0412c"/>
    <x:sheet xmlns:r="http://schemas.openxmlformats.org/officeDocument/2006/relationships" name="ReadMe" sheetId="23" r:id="R3a76402796ec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4" fillId="3" borderId="2" xfId="0" applyNumberFormat="1" applyFont="1" applyFill="1" applyBorder="1"/>
    <x:xf numFmtId="0" fontId="0" fillId="2" borderId="0" xfId="0" applyNumberFormat="1" applyFont="1" applyFill="1" applyBorder="1"/>
    <x:xf numFmtId="0" fontId="0" fillId="0" borderId="2" xfId="0" applyNumberFormat="1" applyFont="1" applyFill="1" applyBorder="1"/>
    <x:xf numFmtId="0" fontId="1" fillId="3" borderId="2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2" xfId="0" applyNumberFormat="1" applyFont="1" applyFill="1" applyBorder="1"/>
    <x:xf numFmtId="200" fontId="0" fillId="0" borderId="2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62cbe63c24c0b" /><Relationship Type="http://schemas.openxmlformats.org/officeDocument/2006/relationships/theme" Target="/xl/theme/theme1.xml" Id="R717acb65420248f9" /><Relationship Type="http://schemas.openxmlformats.org/officeDocument/2006/relationships/sharedStrings" Target="/xl/sharedStrings.xml" Id="Ra59241d67cd44e6e" /><Relationship Type="http://schemas.openxmlformats.org/officeDocument/2006/relationships/worksheet" Target="/xl/worksheets/sheet1.xml" Id="R0cd0b65faaf24a88" /><Relationship Type="http://schemas.openxmlformats.org/officeDocument/2006/relationships/worksheet" Target="/xl/worksheets/sheet2.xml" Id="Rd7f523dd4d494a56" /><Relationship Type="http://schemas.openxmlformats.org/officeDocument/2006/relationships/worksheet" Target="/xl/worksheets/sheet3.xml" Id="R6f5a90ee99ed4063" /><Relationship Type="http://schemas.openxmlformats.org/officeDocument/2006/relationships/worksheet" Target="/xl/worksheets/sheet4.xml" Id="R7c6134d4565e439a" /><Relationship Type="http://schemas.openxmlformats.org/officeDocument/2006/relationships/worksheet" Target="/xl/worksheets/sheet5.xml" Id="R12d5c7224a0b434c" /><Relationship Type="http://schemas.openxmlformats.org/officeDocument/2006/relationships/worksheet" Target="/xl/worksheets/sheet6.xml" Id="Racf786195aea4536" /><Relationship Type="http://schemas.openxmlformats.org/officeDocument/2006/relationships/worksheet" Target="/xl/worksheets/sheet7.xml" Id="Rb20eb0593a0d45b7" /><Relationship Type="http://schemas.openxmlformats.org/officeDocument/2006/relationships/worksheet" Target="/xl/worksheets/sheet8.xml" Id="R9c57139996af46ab" /><Relationship Type="http://schemas.openxmlformats.org/officeDocument/2006/relationships/worksheet" Target="/xl/worksheets/sheet9.xml" Id="Rc631509f97f74e96" /><Relationship Type="http://schemas.openxmlformats.org/officeDocument/2006/relationships/worksheet" Target="/xl/worksheets/sheet10.xml" Id="Rb5004161eaf44392" /><Relationship Type="http://schemas.openxmlformats.org/officeDocument/2006/relationships/worksheet" Target="/xl/worksheets/sheet11.xml" Id="Rcffb71d2994e43f9" /><Relationship Type="http://schemas.openxmlformats.org/officeDocument/2006/relationships/worksheet" Target="/xl/worksheets/sheet12.xml" Id="R191703230ff44f54" /><Relationship Type="http://schemas.openxmlformats.org/officeDocument/2006/relationships/worksheet" Target="/xl/worksheets/sheet13.xml" Id="R1ea62387c8e4471e" /><Relationship Type="http://schemas.openxmlformats.org/officeDocument/2006/relationships/worksheet" Target="/xl/worksheets/sheet14.xml" Id="R62bc442c506543fd" /><Relationship Type="http://schemas.openxmlformats.org/officeDocument/2006/relationships/worksheet" Target="/xl/worksheets/sheet15.xml" Id="R631e9ae7fd9447a3" /><Relationship Type="http://schemas.openxmlformats.org/officeDocument/2006/relationships/worksheet" Target="/xl/worksheets/sheet16.xml" Id="R962807cd93c848f6" /><Relationship Type="http://schemas.openxmlformats.org/officeDocument/2006/relationships/worksheet" Target="/xl/worksheets/sheet17.xml" Id="R7a8c34ad784d4870" /><Relationship Type="http://schemas.openxmlformats.org/officeDocument/2006/relationships/worksheet" Target="/xl/worksheets/sheet18.xml" Id="R8cd0d896729a477c" /><Relationship Type="http://schemas.openxmlformats.org/officeDocument/2006/relationships/worksheet" Target="/xl/worksheets/sheet19.xml" Id="Ra010b147a04743a9" /><Relationship Type="http://schemas.openxmlformats.org/officeDocument/2006/relationships/worksheet" Target="/xl/worksheets/sheet20.xml" Id="R51de97a87fe643e9" /><Relationship Type="http://schemas.openxmlformats.org/officeDocument/2006/relationships/worksheet" Target="/xl/worksheets/sheet21.xml" Id="Rc8911569cf8a409c" /><Relationship Type="http://schemas.openxmlformats.org/officeDocument/2006/relationships/worksheet" Target="/xl/worksheets/sheet22.xml" Id="Rfc0717d445e0412c" /><Relationship Type="http://schemas.openxmlformats.org/officeDocument/2006/relationships/worksheet" Target="/xl/worksheets/sheet23.xml" Id="R3a76402796ec48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aa93b1b051b40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4944021aadc480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58eeedbe6852444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jpg" Id="R380b0ae6155342b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jpg" Id="R4e50bcf7ee8644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.jpg" Id="Ra2ef3c0b415f470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.jpg" Id="Rbcbe8d3e7bd24ecf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.jpg" Id="R34db89f01a6f474c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.jpg" Id="Ra1f69c47ebc7489b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.jpg" Id="R120bf596f9684264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.jpg" Id="R7a6964051f2c4472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.jpg" Id="R982d6b7508514d6c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.jpg" Id="R8d91ab7e87e5463a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.jpg" Id="R4a30bdfd01da4247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.jpg" Id="Ra082f5f174a9461e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.jpg" Id="R7ae50911ba464e58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.jpg" Id="R5866a506babd45de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.jpg" Id="R50de6a72b5564598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.jpg" Id="R1d316d9297514180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.jpg" Id="R29470a7a60714ca8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.jpg" Id="R5c422e489685454a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.jpg" Id="R71a0698a67ea40b9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.jpg" Id="R6939b523d1d54ca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1622446-9925-48aa-8eec-fcc584e40c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93b1b051b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82755fe-0328-4086-9c00-35365e2c9a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944021aadc48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e1595fe-d9ca-479a-bf35-4bd9f8b8fc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eeedbe685244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c4350c7-41ee-4c33-b2b9-55c04758a8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b0ae6155342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55ac2d9-3b7a-4946-a24d-eacf1f764a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50bcf7ee8644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52b82cd-8a28-480c-a220-6c3f8dd45d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ef3c0b415f47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12c8f4f-ac1e-40de-a542-a6a64fd214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be8d3e7bd2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5a08f75-7c5e-46f9-935d-537ea78393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db89f01a6f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55da9b7-44a4-4ff5-8499-ae2179189e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69c47ebc7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9ff53cf-155f-4948-b74a-a146b24e5b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0bf596f968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40b2580-1944-4b6e-b978-06b0fab0ba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6964051f2c44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df82de4-6c6d-48a6-8472-5f2756296b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d6b7508514d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27869ef-b05a-4eab-9b31-c00ca70ff7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91ab7e87e546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368d463-a6e7-477a-b2a4-2ac6c9fc6b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30bdfd01da42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da5f464-3ae3-49c2-8c79-27ade2c1d3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82f5f174a946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c80e637-5798-40a3-a9b3-bf2c3ae69f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e50911ba464e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6796729-1321-42c9-8b01-c04f7bce7e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6a506babd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f30f681-457a-4cc6-8211-302b4dd9ce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de6a72b55645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cbfe081-6b8f-4b67-aa76-a0702af831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16d929751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ebb90a3-1dc6-4f3f-ab00-b9130b3fc2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470a7a60714c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a31bebd-330b-403a-b06d-225c86cf94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422e48968545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07e6531-5621-42cb-89a1-18c5b8a82c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a0698a67ea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5555f97-98be-43b0-901c-7a878a56ad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9b523d1d5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439e871a6d41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3a0a81179b6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123c3e7d777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e8c6854e30349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39e869ab1774d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d9dc338deac849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f7b68b854944c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f09c4ce89bc449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179aa0e5233e48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8102d0eb262844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2dd8e756c1f241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da42040ff76740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ef7ce9844fae48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d36485b0d80643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270e61fefedb430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3e30a95b801f47a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b023fad6374c4c7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107ba35d8ed6420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130445f428984de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303ddb8b04d347b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1f6d3d6888be4c0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7e6f0469d76445d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d72bff16cafd4e7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Noriva Restaurant Feasibility Study Template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Decision measure</x:v>
      </x:c>
      <x:c r="B5" s="11" t="str">
        <x:v>Result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Annual revenue</x:v>
      </x:c>
      <x:c r="B6" s="12" t="n">
        <x:f>'P&amp;L'!N6</x:f>
        <x:v>4176000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Annual operating profit</x:v>
      </x:c>
      <x:c r="B7" s="12" t="n">
        <x:f>'P&amp;L'!N11</x:f>
        <x:v>103200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Operating margin</x:v>
      </x:c>
      <x:c r="B8" s="19" t="n">
        <x:f>'P&amp;L'!N12</x:f>
        <x:v>0.02471264367816092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Break-even monthly revenue</x:v>
      </x:c>
      <x:c r="B9" s="12" t="n">
        <x:f>'Break-Even'!B8</x:f>
        <x:v>335714.28571428574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15" hidden="0" customHeight="1">
      <x:c r="A10" s="12" t="str">
        <x:v>Lowest cash balance</x:v>
      </x:c>
      <x:c r="B10" s="12" t="n">
        <x:f>MIN('Cash Flow'!B9:M9)</x:f>
        <x:v>-891400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 t="str">
        <x:v>Indicative payback months</x:v>
      </x:c>
      <x:c r="B11" s="12" t="n">
        <x:f>IF('P&amp;L'!N11&gt;0,Assumptions!D13/('P&amp;L'!N11/12),0)</x:f>
        <x:v>139.53488372093022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22" t="str">
        <x:v>Decision record: record the approved decision, conditions, owner and date after reviewing evidence and risks.</x:v>
      </x:c>
      <x:c r="B14" s="22"/>
      <x:c r="C14" s="22"/>
      <x:c r="D14" s="22"/>
      <x:c r="E14" s="22"/>
      <x:c r="F14" s="22"/>
      <x:c r="G14" s="22"/>
      <x:c r="H14" s="22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14:H14"/>
  </x:mergeCells>
  <x:pageMargins left="0.7" right="0.7" top="0.75" bottom="0.75" header="0.3" footer="0.3"/>
  <x:drawing xmlns:r="http://schemas.openxmlformats.org/officeDocument/2006/relationships" r:id="R73439e871a6d41d8"/>
</x:worksheet>
</file>

<file path=xl/worksheets/sheet2.xml><?xml version="1.0" encoding="utf-8"?>
<x:worksheet xmlns:x="http://schemas.openxmlformats.org/spreadsheetml/2006/main">
  <x:sheetPr>
    <x:tabColor rgb="FF2F6B8A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Driver</x:v>
      </x:c>
      <x:c r="B5" s="11" t="str">
        <x:v>Base</x:v>
      </x:c>
      <x:c r="C5" s="11" t="str">
        <x:v>Downside</x:v>
      </x:c>
      <x:c r="D5" s="11" t="str">
        <x:v>Active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Monthly covers</x:v>
      </x:c>
      <x:c r="B6" s="13" t="n">
        <x:v>6000</x:v>
      </x:c>
      <x:c r="C6" s="13" t="n">
        <x:v>4800</x:v>
      </x:c>
      <x:c r="D6" s="12" t="n">
        <x:f>B6</x:f>
        <x:v>6000</x:v>
      </x:c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Average check (SAR)</x:v>
      </x:c>
      <x:c r="B7" s="13" t="n">
        <x:v>58</x:v>
      </x:c>
      <x:c r="C7" s="13" t="n">
        <x:v>54</x:v>
      </x:c>
      <x:c r="D7" s="12" t="n">
        <x:f>B7</x:f>
        <x:v>58</x:v>
      </x:c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Food cost %</x:v>
      </x:c>
      <x:c r="B8" s="13" t="n">
        <x:v>0.3</x:v>
      </x:c>
      <x:c r="C8" s="13" t="n">
        <x:v>0.33</x:v>
      </x:c>
      <x:c r="D8" s="12" t="n">
        <x:f>B8</x:f>
        <x:v>0.3</x:v>
      </x:c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Delivery share</x:v>
      </x:c>
      <x:c r="B9" s="13" t="n">
        <x:v>0.28</x:v>
      </x:c>
      <x:c r="C9" s="13" t="n">
        <x:v>0.35</x:v>
      </x:c>
      <x:c r="D9" s="12" t="n">
        <x:f>B9</x:f>
        <x:v>0.28</x:v>
      </x:c>
      <x:c r="E9" s="1"/>
      <x:c r="F9" s="1"/>
      <x:c r="G9" s="1"/>
      <x:c r="H9" s="1"/>
      <x:c r="I9" s="1"/>
      <x:c r="J9" s="1"/>
      <x:c r="K9" s="1"/>
    </x:row>
    <x:row r="10" ht="15" hidden="0" customHeight="1">
      <x:c r="A10" s="12" t="str">
        <x:v>Delivery commission %</x:v>
      </x:c>
      <x:c r="B10" s="13" t="n">
        <x:v>0.24</x:v>
      </x:c>
      <x:c r="C10" s="13" t="n">
        <x:v>0.27</x:v>
      </x:c>
      <x:c r="D10" s="12" t="n">
        <x:f>B10</x:f>
        <x:v>0.24</x:v>
      </x:c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 t="str">
        <x:v>Monthly payroll</x:v>
      </x:c>
      <x:c r="B11" s="13" t="n">
        <x:v>125000</x:v>
      </x:c>
      <x:c r="C11" s="13" t="n">
        <x:v>125000</x:v>
      </x:c>
      <x:c r="D11" s="12" t="n">
        <x:f>B11</x:f>
        <x:v>125000</x:v>
      </x:c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 t="str">
        <x:v>Monthly fixed OPEX</x:v>
      </x:c>
      <x:c r="B12" s="13" t="n">
        <x:v>110000</x:v>
      </x:c>
      <x:c r="C12" s="13" t="n">
        <x:v>115000</x:v>
      </x:c>
      <x:c r="D12" s="12" t="n">
        <x:f>B12</x:f>
        <x:v>110000</x:v>
      </x:c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 t="str">
        <x:v>CAPEX</x:v>
      </x:c>
      <x:c r="B13" s="13" t="n">
        <x:v>1200000</x:v>
      </x:c>
      <x:c r="C13" s="13" t="n">
        <x:v>1250000</x:v>
      </x:c>
      <x:c r="D13" s="12" t="n">
        <x:f>B13</x:f>
        <x:v>1200000</x:v>
      </x:c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 t="str">
        <x:v>Opening cash</x:v>
      </x:c>
      <x:c r="B14" s="13" t="n">
        <x:v>300000</x:v>
      </x:c>
      <x:c r="C14" s="13" t="n">
        <x:v>350000</x:v>
      </x:c>
      <x:c r="D14" s="12" t="n">
        <x:f>B14</x:f>
        <x:v>300000</x:v>
      </x:c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63a0a81179b64a20"/>
</x:worksheet>
</file>

<file path=xl/worksheets/sheet3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Project Overview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6123c3e7d7774778"/>
</x:worksheet>
</file>

<file path=xl/worksheets/sheet4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Concept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1e8c6854e3034963"/>
</x:worksheet>
</file>

<file path=xl/worksheets/sheet5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Market 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239e869ab1774de8"/>
</x:worksheet>
</file>

<file path=xl/worksheets/sheet6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Location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9dc338deac849dc"/>
</x:worksheet>
</file>

<file path=xl/worksheets/sheet7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Target Customer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4f7b68b854944cc8"/>
</x:worksheet>
</file>

<file path=xl/worksheets/sheet8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Competitors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f09c4ce89bc449af"/>
</x:worksheet>
</file>

<file path=xl/worksheets/sheet9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Menu Mix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179aa0e5233e48bb"/>
</x:worksheet>
</file>

<file path=xl/worksheets/sheet10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Revenue 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8102d0eb2628442d"/>
</x:worksheet>
</file>

<file path=xl/worksheets/sheet11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Sales Forecast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Metric</x:v>
      </x:c>
      <x:c r="B5" s="11" t="str">
        <x:v>M1</x:v>
      </x:c>
      <x:c r="C5" s="11" t="str">
        <x:v>M2</x:v>
      </x:c>
      <x:c r="D5" s="11" t="str">
        <x:v>M3</x:v>
      </x:c>
      <x:c r="E5" s="11" t="str">
        <x:v>M4</x:v>
      </x:c>
      <x:c r="F5" s="11" t="str">
        <x:v>M5</x:v>
      </x:c>
      <x:c r="G5" s="11" t="str">
        <x:v>M6</x:v>
      </x:c>
      <x:c r="H5" s="11" t="str">
        <x:v>M7</x:v>
      </x:c>
      <x:c r="I5" s="11" t="str">
        <x:v>M8</x:v>
      </x:c>
      <x:c r="J5" s="11" t="str">
        <x:v>M9</x:v>
      </x:c>
      <x:c r="K5" s="11" t="str">
        <x:v>M10</x:v>
      </x:c>
      <x:c r="L5" s="11" t="str">
        <x:v>M11</x:v>
      </x:c>
      <x:c r="M5" s="11" t="str">
        <x:v>M12</x:v>
      </x:c>
      <x:c r="N5" s="11" t="str">
        <x:v>Year</x:v>
      </x:c>
    </x:row>
    <x:row r="6" ht="15" hidden="0" customHeight="1">
      <x:c r="A6" s="12" t="str">
        <x:v>Covers</x:v>
      </x:c>
      <x:c r="B6" s="12" t="n">
        <x:f>Assumptions!$D$6</x:f>
        <x:v>6000</x:v>
      </x:c>
      <x:c r="C6" s="12" t="n">
        <x:f>Assumptions!$D$6</x:f>
        <x:v>6000</x:v>
      </x:c>
      <x:c r="D6" s="12" t="n">
        <x:f>Assumptions!$D$6</x:f>
        <x:v>6000</x:v>
      </x:c>
      <x:c r="E6" s="12" t="n">
        <x:f>Assumptions!$D$6</x:f>
        <x:v>6000</x:v>
      </x:c>
      <x:c r="F6" s="12" t="n">
        <x:f>Assumptions!$D$6</x:f>
        <x:v>6000</x:v>
      </x:c>
      <x:c r="G6" s="12" t="n">
        <x:f>Assumptions!$D$6</x:f>
        <x:v>6000</x:v>
      </x:c>
      <x:c r="H6" s="12" t="n">
        <x:f>Assumptions!$D$6</x:f>
        <x:v>6000</x:v>
      </x:c>
      <x:c r="I6" s="12" t="n">
        <x:f>Assumptions!$D$6</x:f>
        <x:v>6000</x:v>
      </x:c>
      <x:c r="J6" s="12" t="n">
        <x:f>Assumptions!$D$6</x:f>
        <x:v>6000</x:v>
      </x:c>
      <x:c r="K6" s="12" t="n">
        <x:f>Assumptions!$D$6</x:f>
        <x:v>6000</x:v>
      </x:c>
      <x:c r="L6" s="15" t="n">
        <x:f>Assumptions!$D$6</x:f>
        <x:v>6000</x:v>
      </x:c>
      <x:c r="M6" s="15" t="n">
        <x:f>Assumptions!$D$6</x:f>
        <x:v>6000</x:v>
      </x:c>
      <x:c r="N6" s="15" t="n">
        <x:f>SUM(B6:M6)</x:f>
        <x:v>72000</x:v>
      </x:c>
    </x:row>
    <x:row r="7" ht="15" hidden="0" customHeight="1">
      <x:c r="A7" s="12" t="str">
        <x:v>Average check</x:v>
      </x:c>
      <x:c r="B7" s="12" t="n">
        <x:f>Assumptions!$D$7</x:f>
        <x:v>58</x:v>
      </x:c>
      <x:c r="C7" s="12" t="n">
        <x:f>Assumptions!$D$7</x:f>
        <x:v>58</x:v>
      </x:c>
      <x:c r="D7" s="12" t="n">
        <x:f>Assumptions!$D$7</x:f>
        <x:v>58</x:v>
      </x:c>
      <x:c r="E7" s="12" t="n">
        <x:f>Assumptions!$D$7</x:f>
        <x:v>58</x:v>
      </x:c>
      <x:c r="F7" s="12" t="n">
        <x:f>Assumptions!$D$7</x:f>
        <x:v>58</x:v>
      </x:c>
      <x:c r="G7" s="12" t="n">
        <x:f>Assumptions!$D$7</x:f>
        <x:v>58</x:v>
      </x:c>
      <x:c r="H7" s="12" t="n">
        <x:f>Assumptions!$D$7</x:f>
        <x:v>58</x:v>
      </x:c>
      <x:c r="I7" s="12" t="n">
        <x:f>Assumptions!$D$7</x:f>
        <x:v>58</x:v>
      </x:c>
      <x:c r="J7" s="12" t="n">
        <x:f>Assumptions!$D$7</x:f>
        <x:v>58</x:v>
      </x:c>
      <x:c r="K7" s="12" t="n">
        <x:f>Assumptions!$D$7</x:f>
        <x:v>58</x:v>
      </x:c>
      <x:c r="L7" s="15" t="n">
        <x:f>Assumptions!$D$7</x:f>
        <x:v>58</x:v>
      </x:c>
      <x:c r="M7" s="15" t="n">
        <x:f>Assumptions!$D$7</x:f>
        <x:v>58</x:v>
      </x:c>
      <x:c r="N7" s="15" t="n">
        <x:f>SUM(B7:M7)</x:f>
        <x:v>696</x:v>
      </x:c>
    </x:row>
    <x:row r="8" ht="15" hidden="0" customHeight="1">
      <x:c r="A8" s="12" t="str">
        <x:v>Gross sales</x:v>
      </x:c>
      <x:c r="B8" s="12" t="n">
        <x:f>B6*B7</x:f>
        <x:v>348000</x:v>
      </x:c>
      <x:c r="C8" s="12" t="n">
        <x:f>C6*C7</x:f>
        <x:v>348000</x:v>
      </x:c>
      <x:c r="D8" s="12" t="n">
        <x:f>D6*D7</x:f>
        <x:v>348000</x:v>
      </x:c>
      <x:c r="E8" s="12" t="n">
        <x:f>E6*E7</x:f>
        <x:v>348000</x:v>
      </x:c>
      <x:c r="F8" s="12" t="n">
        <x:f>F6*F7</x:f>
        <x:v>348000</x:v>
      </x:c>
      <x:c r="G8" s="12" t="n">
        <x:f>G6*G7</x:f>
        <x:v>348000</x:v>
      </x:c>
      <x:c r="H8" s="12" t="n">
        <x:f>H6*H7</x:f>
        <x:v>348000</x:v>
      </x:c>
      <x:c r="I8" s="12" t="n">
        <x:f>I6*I7</x:f>
        <x:v>348000</x:v>
      </x:c>
      <x:c r="J8" s="12" t="n">
        <x:f>J6*J7</x:f>
        <x:v>348000</x:v>
      </x:c>
      <x:c r="K8" s="12" t="n">
        <x:f>K6*K7</x:f>
        <x:v>348000</x:v>
      </x:c>
      <x:c r="L8" s="15" t="n">
        <x:f>L6*L7</x:f>
        <x:v>348000</x:v>
      </x:c>
      <x:c r="M8" s="15" t="n">
        <x:f>M6*M7</x:f>
        <x:v>348000</x:v>
      </x:c>
      <x:c r="N8" s="15" t="n">
        <x:f>SUM(B8:M8)</x:f>
        <x:v>4176000</x:v>
      </x:c>
    </x:row>
    <x:row r="9" ht="15" hidden="0" customHeight="1">
      <x:c r="A9" s="12" t="str">
        <x:v>Delivery share</x:v>
      </x:c>
      <x:c r="B9" s="12" t="n">
        <x:f>Assumptions!$D$9</x:f>
        <x:v>0.28</x:v>
      </x:c>
      <x:c r="C9" s="12" t="n">
        <x:f>Assumptions!$D$9</x:f>
        <x:v>0.28</x:v>
      </x:c>
      <x:c r="D9" s="12" t="n">
        <x:f>Assumptions!$D$9</x:f>
        <x:v>0.28</x:v>
      </x:c>
      <x:c r="E9" s="12" t="n">
        <x:f>Assumptions!$D$9</x:f>
        <x:v>0.28</x:v>
      </x:c>
      <x:c r="F9" s="12" t="n">
        <x:f>Assumptions!$D$9</x:f>
        <x:v>0.28</x:v>
      </x:c>
      <x:c r="G9" s="12" t="n">
        <x:f>Assumptions!$D$9</x:f>
        <x:v>0.28</x:v>
      </x:c>
      <x:c r="H9" s="12" t="n">
        <x:f>Assumptions!$D$9</x:f>
        <x:v>0.28</x:v>
      </x:c>
      <x:c r="I9" s="12" t="n">
        <x:f>Assumptions!$D$9</x:f>
        <x:v>0.28</x:v>
      </x:c>
      <x:c r="J9" s="12" t="n">
        <x:f>Assumptions!$D$9</x:f>
        <x:v>0.28</x:v>
      </x:c>
      <x:c r="K9" s="12" t="n">
        <x:f>Assumptions!$D$9</x:f>
        <x:v>0.28</x:v>
      </x:c>
      <x:c r="L9" s="15" t="n">
        <x:f>Assumptions!$D$9</x:f>
        <x:v>0.28</x:v>
      </x:c>
      <x:c r="M9" s="15" t="n">
        <x:f>Assumptions!$D$9</x:f>
        <x:v>0.28</x:v>
      </x:c>
      <x:c r="N9" s="15" t="n">
        <x:f>SUM(B9:M9)</x:f>
        <x:v>3.360000000000001</x:v>
      </x:c>
    </x:row>
    <x:row r="10" ht="15" hidden="0" customHeight="1">
      <x:c r="A10" s="12" t="str">
        <x:v>Delivery sales</x:v>
      </x:c>
      <x:c r="B10" s="12" t="n">
        <x:f>B8*B9</x:f>
        <x:v>97440.00000000001</x:v>
      </x:c>
      <x:c r="C10" s="12" t="n">
        <x:f>C8*C9</x:f>
        <x:v>97440.00000000001</x:v>
      </x:c>
      <x:c r="D10" s="12" t="n">
        <x:f>D8*D9</x:f>
        <x:v>97440.00000000001</x:v>
      </x:c>
      <x:c r="E10" s="12" t="n">
        <x:f>E8*E9</x:f>
        <x:v>97440.00000000001</x:v>
      </x:c>
      <x:c r="F10" s="12" t="n">
        <x:f>F8*F9</x:f>
        <x:v>97440.00000000001</x:v>
      </x:c>
      <x:c r="G10" s="12" t="n">
        <x:f>G8*G9</x:f>
        <x:v>97440.00000000001</x:v>
      </x:c>
      <x:c r="H10" s="12" t="n">
        <x:f>H8*H9</x:f>
        <x:v>97440.00000000001</x:v>
      </x:c>
      <x:c r="I10" s="12" t="n">
        <x:f>I8*I9</x:f>
        <x:v>97440.00000000001</x:v>
      </x:c>
      <x:c r="J10" s="12" t="n">
        <x:f>J8*J9</x:f>
        <x:v>97440.00000000001</x:v>
      </x:c>
      <x:c r="K10" s="12" t="n">
        <x:f>K8*K9</x:f>
        <x:v>97440.00000000001</x:v>
      </x:c>
      <x:c r="L10" s="15" t="n">
        <x:f>L8*L9</x:f>
        <x:v>97440.00000000001</x:v>
      </x:c>
      <x:c r="M10" s="15" t="n">
        <x:f>M8*M9</x:f>
        <x:v>97440.00000000001</x:v>
      </x:c>
      <x:c r="N10" s="15" t="n">
        <x:f>SUM(B10:M10)</x:f>
        <x:v>1169280.0000000002</x:v>
      </x:c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2dd8e756c1f24130"/>
</x:worksheet>
</file>

<file path=xl/worksheets/sheet12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CAPEX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Category</x:v>
      </x:c>
      <x:c r="B5" s="11" t="str">
        <x:v>Item</x:v>
      </x:c>
      <x:c r="C5" s="11" t="str">
        <x:v>Quantity</x:v>
      </x:c>
      <x:c r="D5" s="11" t="str">
        <x:v>Unit cost</x:v>
      </x:c>
      <x:c r="E5" s="11" t="str">
        <x:v>Total</x:v>
      </x:c>
      <x:c r="F5" s="1"/>
      <x:c r="G5" s="1"/>
      <x:c r="H5" s="1"/>
      <x:c r="I5" s="1"/>
      <x:c r="J5" s="1"/>
      <x:c r="K5" s="1"/>
    </x:row>
    <x:row r="6" ht="15" hidden="0" customHeight="1">
      <x:c r="A6" s="12" t="str">
        <x:v>Fit-out</x:v>
      </x:c>
      <x:c r="B6" s="12" t="str">
        <x:v>Construction</x:v>
      </x:c>
      <x:c r="C6" s="12" t="n">
        <x:v>1</x:v>
      </x:c>
      <x:c r="D6" s="12" t="n">
        <x:v>500000</x:v>
      </x:c>
      <x:c r="E6" s="12" t="n">
        <x:f>C6*D6</x:f>
        <x:v>500000</x:v>
      </x:c>
      <x:c r="F6" s="1"/>
      <x:c r="G6" s="1"/>
      <x:c r="H6" s="1"/>
      <x:c r="I6" s="1"/>
      <x:c r="J6" s="1"/>
      <x:c r="K6" s="1"/>
    </x:row>
    <x:row r="7" ht="15" hidden="0" customHeight="1">
      <x:c r="A7" s="12" t="str">
        <x:v>Kitchen</x:v>
      </x:c>
      <x:c r="B7" s="12" t="str">
        <x:v>Equipment</x:v>
      </x:c>
      <x:c r="C7" s="12" t="n">
        <x:v>1</x:v>
      </x:c>
      <x:c r="D7" s="12" t="n">
        <x:v>350000</x:v>
      </x:c>
      <x:c r="E7" s="12" t="n">
        <x:f>C7*D7</x:f>
        <x:v>350000</x:v>
      </x:c>
      <x:c r="F7" s="1"/>
      <x:c r="G7" s="1"/>
      <x:c r="H7" s="1"/>
      <x:c r="I7" s="1"/>
      <x:c r="J7" s="1"/>
      <x:c r="K7" s="1"/>
    </x:row>
    <x:row r="8" ht="15" hidden="0" customHeight="1">
      <x:c r="A8" s="12" t="str">
        <x:v>Technology</x:v>
      </x:c>
      <x:c r="B8" s="12" t="str">
        <x:v>POS and systems</x:v>
      </x:c>
      <x:c r="C8" s="12" t="n">
        <x:v>1</x:v>
      </x:c>
      <x:c r="D8" s="12" t="n">
        <x:v>50000</x:v>
      </x:c>
      <x:c r="E8" s="12" t="n">
        <x:f>C8*D8</x:f>
        <x:v>50000</x:v>
      </x:c>
      <x:c r="F8" s="1"/>
      <x:c r="G8" s="1"/>
      <x:c r="H8" s="1"/>
      <x:c r="I8" s="1"/>
      <x:c r="J8" s="1"/>
      <x:c r="K8" s="1"/>
    </x:row>
    <x:row r="9" ht="15" hidden="0" customHeight="1">
      <x:c r="A9" s="12" t="str">
        <x:v>Furniture</x:v>
      </x:c>
      <x:c r="B9" s="12" t="str">
        <x:v>Dining furniture</x:v>
      </x:c>
      <x:c r="C9" s="12" t="n">
        <x:v>1</x:v>
      </x:c>
      <x:c r="D9" s="12" t="n">
        <x:v>180000</x:v>
      </x:c>
      <x:c r="E9" s="12" t="n">
        <x:f>C9*D9</x:f>
        <x:v>180000</x:v>
      </x:c>
      <x:c r="F9" s="1"/>
      <x:c r="G9" s="1"/>
      <x:c r="H9" s="1"/>
      <x:c r="I9" s="1"/>
      <x:c r="J9" s="1"/>
      <x:c r="K9" s="1"/>
    </x:row>
    <x:row r="10" ht="15" hidden="0" customHeight="1">
      <x:c r="A10" s="12" t="str">
        <x:v>Professional</x:v>
      </x:c>
      <x:c r="B10" s="12" t="str">
        <x:v>Design and approvals</x:v>
      </x:c>
      <x:c r="C10" s="12" t="n">
        <x:v>1</x:v>
      </x:c>
      <x:c r="D10" s="12" t="n">
        <x:v>120000</x:v>
      </x:c>
      <x:c r="E10" s="12" t="n">
        <x:f>C10*D10</x:f>
        <x:v>120000</x:v>
      </x:c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 t="n">
        <x:f>C11*D11</x:f>
        <x:v>0</x:v>
      </x:c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 t="n">
        <x:f>C12*D12</x:f>
        <x:v>0</x:v>
      </x:c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2"/>
      <x:c r="C13" s="12"/>
      <x:c r="D13" s="12"/>
      <x:c r="E13" s="12" t="n">
        <x:f>C13*D13</x:f>
        <x:v>0</x:v>
      </x:c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2"/>
      <x:c r="C14" s="12"/>
      <x:c r="D14" s="12"/>
      <x:c r="E14" s="12" t="n">
        <x:f>C14*D14</x:f>
        <x:v>0</x:v>
      </x:c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2"/>
      <x:c r="C15" s="12"/>
      <x:c r="D15" s="12"/>
      <x:c r="E15" s="12" t="n">
        <x:f>C15*D15</x:f>
        <x:v>0</x:v>
      </x:c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2"/>
      <x:c r="C16" s="12"/>
      <x:c r="D16" s="12"/>
      <x:c r="E16" s="12" t="n">
        <x:f>C16*D16</x:f>
        <x:v>0</x:v>
      </x:c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2"/>
      <x:c r="C17" s="12"/>
      <x:c r="D17" s="12"/>
      <x:c r="E17" s="12" t="n">
        <x:f>C17*D17</x:f>
        <x:v>0</x:v>
      </x:c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2"/>
      <x:c r="C18" s="12"/>
      <x:c r="D18" s="12"/>
      <x:c r="E18" s="12" t="n">
        <x:f>C18*D18</x:f>
        <x:v>0</x:v>
      </x:c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2"/>
      <x:c r="C19" s="12"/>
      <x:c r="D19" s="12"/>
      <x:c r="E19" s="12" t="n">
        <x:f>C19*D19</x:f>
        <x:v>0</x:v>
      </x:c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2"/>
      <x:c r="C20" s="12"/>
      <x:c r="D20" s="12"/>
      <x:c r="E20" s="12" t="n">
        <x:f>C20*D20</x:f>
        <x:v>0</x:v>
      </x:c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a42040ff76740ed"/>
</x:worksheet>
</file>

<file path=xl/worksheets/sheet13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OPEX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Cost</x:v>
      </x:c>
      <x:c r="B5" s="11" t="str">
        <x:v>Monthly amount</x:v>
      </x:c>
      <x:c r="C5" s="11" t="str">
        <x:v>Basis</x:v>
      </x:c>
      <x:c r="D5" s="1"/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Rent</x:v>
      </x:c>
      <x:c r="B6" s="16" t="n">
        <x:v>45000</x:v>
      </x:c>
      <x:c r="C6" s="12" t="str">
        <x:v>Lease</x:v>
      </x:c>
      <x:c r="D6" s="1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Utilities</x:v>
      </x:c>
      <x:c r="B7" s="16" t="n">
        <x:v>18000</x:v>
      </x:c>
      <x:c r="C7" s="12" t="str">
        <x:v>Estimate</x:v>
      </x:c>
      <x:c r="D7" s="1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Repairs</x:v>
      </x:c>
      <x:c r="B8" s="16" t="n">
        <x:v>7000</x:v>
      </x:c>
      <x:c r="C8" s="12" t="str">
        <x:v>Assumption</x:v>
      </x:c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Technology</x:v>
      </x:c>
      <x:c r="B9" s="16" t="n">
        <x:v>5000</x:v>
      </x:c>
      <x:c r="C9" s="12" t="str">
        <x:v>Contracts</x:v>
      </x:c>
      <x:c r="D9" s="1"/>
      <x:c r="E9" s="1"/>
      <x:c r="F9" s="1"/>
      <x:c r="G9" s="1"/>
      <x:c r="H9" s="1"/>
      <x:c r="I9" s="1"/>
      <x:c r="J9" s="1"/>
      <x:c r="K9" s="1"/>
    </x:row>
    <x:row r="10" ht="15" hidden="0" customHeight="1">
      <x:c r="A10" s="12" t="str">
        <x:v>Marketing</x:v>
      </x:c>
      <x:c r="B10" s="16" t="n">
        <x:v>20000</x:v>
      </x:c>
      <x:c r="C10" s="12" t="str">
        <x:v>Plan</x:v>
      </x:c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 t="str">
        <x:v>Other</x:v>
      </x:c>
      <x:c r="B11" s="16" t="n">
        <x:v>15000</x:v>
      </x:c>
      <x:c r="C11" s="12" t="str">
        <x:v>Assumption</x:v>
      </x:c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2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2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2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2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2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2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2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2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2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ef7ce9844fae48ed"/>
</x:worksheet>
</file>

<file path=xl/worksheets/sheet14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Payroll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Role</x:v>
      </x:c>
      <x:c r="B5" s="11" t="str">
        <x:v>Headcount</x:v>
      </x:c>
      <x:c r="C5" s="11" t="str">
        <x:v>Monthly pay</x:v>
      </x:c>
      <x:c r="D5" s="11" t="str">
        <x:v>Benefits %</x:v>
      </x:c>
      <x:c r="E5" s="11" t="str">
        <x:v>Monthly cost</x:v>
      </x:c>
      <x:c r="F5" s="1"/>
      <x:c r="G5" s="1"/>
      <x:c r="H5" s="1"/>
      <x:c r="I5" s="1"/>
      <x:c r="J5" s="1"/>
      <x:c r="K5" s="1"/>
    </x:row>
    <x:row r="6" ht="15" hidden="0" customHeight="1">
      <x:c r="A6" s="12" t="str">
        <x:v>Management</x:v>
      </x:c>
      <x:c r="B6" s="12" t="n">
        <x:v>2</x:v>
      </x:c>
      <x:c r="C6" s="12" t="n">
        <x:v>12000</x:v>
      </x:c>
      <x:c r="D6" s="12" t="n">
        <x:v>0.15</x:v>
      </x:c>
      <x:c r="E6" s="12" t="n">
        <x:f>B6*C6*(1+D6)</x:f>
        <x:v>27599.999999999996</x:v>
      </x:c>
      <x:c r="F6" s="1"/>
      <x:c r="G6" s="1"/>
      <x:c r="H6" s="1"/>
      <x:c r="I6" s="1"/>
      <x:c r="J6" s="1"/>
      <x:c r="K6" s="1"/>
    </x:row>
    <x:row r="7" ht="15" hidden="0" customHeight="1">
      <x:c r="A7" s="12" t="str">
        <x:v>Kitchen</x:v>
      </x:c>
      <x:c r="B7" s="12" t="n">
        <x:v>10</x:v>
      </x:c>
      <x:c r="C7" s="12" t="n">
        <x:v>6000</x:v>
      </x:c>
      <x:c r="D7" s="12" t="n">
        <x:v>0.15</x:v>
      </x:c>
      <x:c r="E7" s="12" t="n">
        <x:f>B7*C7*(1+D7)</x:f>
        <x:v>69000</x:v>
      </x:c>
      <x:c r="F7" s="1"/>
      <x:c r="G7" s="1"/>
      <x:c r="H7" s="1"/>
      <x:c r="I7" s="1"/>
      <x:c r="J7" s="1"/>
      <x:c r="K7" s="1"/>
    </x:row>
    <x:row r="8" ht="15" hidden="0" customHeight="1">
      <x:c r="A8" s="12" t="str">
        <x:v>Service</x:v>
      </x:c>
      <x:c r="B8" s="12" t="n">
        <x:v>10</x:v>
      </x:c>
      <x:c r="C8" s="12" t="n">
        <x:v>4500</x:v>
      </x:c>
      <x:c r="D8" s="12" t="n">
        <x:v>0.15</x:v>
      </x:c>
      <x:c r="E8" s="12" t="n">
        <x:f>B8*C8*(1+D8)</x:f>
        <x:v>51749.99999999999</x:v>
      </x:c>
      <x:c r="F8" s="1"/>
      <x:c r="G8" s="1"/>
      <x:c r="H8" s="1"/>
      <x:c r="I8" s="1"/>
      <x:c r="J8" s="1"/>
      <x:c r="K8" s="1"/>
    </x:row>
    <x:row r="9" ht="15" hidden="0" customHeight="1">
      <x:c r="A9" s="12" t="str">
        <x:v>Support</x:v>
      </x:c>
      <x:c r="B9" s="12" t="n">
        <x:v>4</x:v>
      </x:c>
      <x:c r="C9" s="12" t="n">
        <x:v>4000</x:v>
      </x:c>
      <x:c r="D9" s="12" t="n">
        <x:v>0.15</x:v>
      </x:c>
      <x:c r="E9" s="12" t="n">
        <x:f>B9*C9*(1+D9)</x:f>
        <x:v>18400</x:v>
      </x:c>
      <x:c r="F9" s="1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 t="n">
        <x:f>B10*C10*(1+D10)</x:f>
        <x:v>0</x:v>
      </x:c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 t="n">
        <x:f>B11*C11*(1+D11)</x:f>
        <x:v>0</x:v>
      </x:c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 t="n">
        <x:f>B12*C12*(1+D12)</x:f>
        <x:v>0</x:v>
      </x:c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2"/>
      <x:c r="C13" s="12"/>
      <x:c r="D13" s="12"/>
      <x:c r="E13" s="12" t="n">
        <x:f>B13*C13*(1+D13)</x:f>
        <x:v>0</x:v>
      </x:c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2"/>
      <x:c r="C14" s="12"/>
      <x:c r="D14" s="12"/>
      <x:c r="E14" s="12" t="n">
        <x:f>B14*C14*(1+D14)</x:f>
        <x:v>0</x:v>
      </x:c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2"/>
      <x:c r="C15" s="12"/>
      <x:c r="D15" s="12"/>
      <x:c r="E15" s="12" t="n">
        <x:f>B15*C15*(1+D15)</x:f>
        <x:v>0</x:v>
      </x:c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2"/>
      <x:c r="C16" s="12"/>
      <x:c r="D16" s="12"/>
      <x:c r="E16" s="12" t="n">
        <x:f>B16*C16*(1+D16)</x:f>
        <x:v>0</x:v>
      </x:c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2"/>
      <x:c r="C17" s="12"/>
      <x:c r="D17" s="12"/>
      <x:c r="E17" s="12" t="n">
        <x:f>B17*C17*(1+D17)</x:f>
        <x:v>0</x:v>
      </x:c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2"/>
      <x:c r="C18" s="12"/>
      <x:c r="D18" s="12"/>
      <x:c r="E18" s="12" t="n">
        <x:f>B18*C18*(1+D18)</x:f>
        <x:v>0</x:v>
      </x:c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2"/>
      <x:c r="C19" s="12"/>
      <x:c r="D19" s="12"/>
      <x:c r="E19" s="12" t="n">
        <x:f>B19*C19*(1+D19)</x:f>
        <x:v>0</x:v>
      </x:c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2"/>
      <x:c r="C20" s="12"/>
      <x:c r="D20" s="12"/>
      <x:c r="E20" s="12" t="n">
        <x:f>B20*C20*(1+D20)</x:f>
        <x:v>0</x:v>
      </x:c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36485b0d80643fc"/>
</x:worksheet>
</file>

<file path=xl/worksheets/sheet15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Food Cost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270e61fefedb4301"/>
</x:worksheet>
</file>

<file path=xl/worksheets/sheet16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Delivery Economics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3e30a95b801f47a5"/>
</x:worksheet>
</file>

<file path=xl/worksheets/sheet17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P&amp;L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Metric</x:v>
      </x:c>
      <x:c r="B5" s="11" t="str">
        <x:v>M1</x:v>
      </x:c>
      <x:c r="C5" s="11" t="str">
        <x:v>M2</x:v>
      </x:c>
      <x:c r="D5" s="11" t="str">
        <x:v>M3</x:v>
      </x:c>
      <x:c r="E5" s="11" t="str">
        <x:v>M4</x:v>
      </x:c>
      <x:c r="F5" s="11" t="str">
        <x:v>M5</x:v>
      </x:c>
      <x:c r="G5" s="11" t="str">
        <x:v>M6</x:v>
      </x:c>
      <x:c r="H5" s="11" t="str">
        <x:v>M7</x:v>
      </x:c>
      <x:c r="I5" s="11" t="str">
        <x:v>M8</x:v>
      </x:c>
      <x:c r="J5" s="11" t="str">
        <x:v>M9</x:v>
      </x:c>
      <x:c r="K5" s="11" t="str">
        <x:v>M10</x:v>
      </x:c>
      <x:c r="L5" s="11" t="str">
        <x:v>M11</x:v>
      </x:c>
      <x:c r="M5" s="11" t="str">
        <x:v>M12</x:v>
      </x:c>
      <x:c r="N5" s="11" t="str">
        <x:v>Year</x:v>
      </x:c>
    </x:row>
    <x:row r="6" ht="15" hidden="0" customHeight="1">
      <x:c r="A6" s="12" t="str">
        <x:v>Revenue</x:v>
      </x:c>
      <x:c r="B6" s="12" t="n">
        <x:f>'Sales Forecast'!B8</x:f>
        <x:v>348000</x:v>
      </x:c>
      <x:c r="C6" s="12" t="n">
        <x:f>'Sales Forecast'!C8</x:f>
        <x:v>348000</x:v>
      </x:c>
      <x:c r="D6" s="12" t="n">
        <x:f>'Sales Forecast'!D8</x:f>
        <x:v>348000</x:v>
      </x:c>
      <x:c r="E6" s="12" t="n">
        <x:f>'Sales Forecast'!E8</x:f>
        <x:v>348000</x:v>
      </x:c>
      <x:c r="F6" s="12" t="n">
        <x:f>'Sales Forecast'!F8</x:f>
        <x:v>348000</x:v>
      </x:c>
      <x:c r="G6" s="12" t="n">
        <x:f>'Sales Forecast'!G8</x:f>
        <x:v>348000</x:v>
      </x:c>
      <x:c r="H6" s="12" t="n">
        <x:f>'Sales Forecast'!H8</x:f>
        <x:v>348000</x:v>
      </x:c>
      <x:c r="I6" s="12" t="n">
        <x:f>'Sales Forecast'!I8</x:f>
        <x:v>348000</x:v>
      </x:c>
      <x:c r="J6" s="12" t="n">
        <x:f>'Sales Forecast'!J8</x:f>
        <x:v>348000</x:v>
      </x:c>
      <x:c r="K6" s="12" t="n">
        <x:f>'Sales Forecast'!K8</x:f>
        <x:v>348000</x:v>
      </x:c>
      <x:c r="L6" s="15" t="n">
        <x:f>'Sales Forecast'!L8</x:f>
        <x:v>348000</x:v>
      </x:c>
      <x:c r="M6" s="15" t="n">
        <x:f>'Sales Forecast'!M8</x:f>
        <x:v>348000</x:v>
      </x:c>
      <x:c r="N6" s="15" t="n">
        <x:f>SUM(B6:M6)</x:f>
        <x:v>4176000</x:v>
      </x:c>
    </x:row>
    <x:row r="7" ht="15" hidden="0" customHeight="1">
      <x:c r="A7" s="12" t="str">
        <x:v>Food cost</x:v>
      </x:c>
      <x:c r="B7" s="12" t="n">
        <x:f>B6*Assumptions!$D$8</x:f>
        <x:v>104400</x:v>
      </x:c>
      <x:c r="C7" s="12" t="n">
        <x:f>C6*Assumptions!$D$8</x:f>
        <x:v>104400</x:v>
      </x:c>
      <x:c r="D7" s="12" t="n">
        <x:f>D6*Assumptions!$D$8</x:f>
        <x:v>104400</x:v>
      </x:c>
      <x:c r="E7" s="12" t="n">
        <x:f>E6*Assumptions!$D$8</x:f>
        <x:v>104400</x:v>
      </x:c>
      <x:c r="F7" s="12" t="n">
        <x:f>F6*Assumptions!$D$8</x:f>
        <x:v>104400</x:v>
      </x:c>
      <x:c r="G7" s="12" t="n">
        <x:f>G6*Assumptions!$D$8</x:f>
        <x:v>104400</x:v>
      </x:c>
      <x:c r="H7" s="12" t="n">
        <x:f>H6*Assumptions!$D$8</x:f>
        <x:v>104400</x:v>
      </x:c>
      <x:c r="I7" s="12" t="n">
        <x:f>I6*Assumptions!$D$8</x:f>
        <x:v>104400</x:v>
      </x:c>
      <x:c r="J7" s="12" t="n">
        <x:f>J6*Assumptions!$D$8</x:f>
        <x:v>104400</x:v>
      </x:c>
      <x:c r="K7" s="12" t="n">
        <x:f>K6*Assumptions!$D$8</x:f>
        <x:v>104400</x:v>
      </x:c>
      <x:c r="L7" s="15" t="n">
        <x:f>L6*Assumptions!$D$8</x:f>
        <x:v>104400</x:v>
      </x:c>
      <x:c r="M7" s="15" t="n">
        <x:f>M6*Assumptions!$D$8</x:f>
        <x:v>104400</x:v>
      </x:c>
      <x:c r="N7" s="15" t="n">
        <x:f>SUM(B7:M7)</x:f>
        <x:v>1252800</x:v>
      </x:c>
    </x:row>
    <x:row r="8" ht="15" hidden="0" customHeight="1">
      <x:c r="A8" s="12" t="str">
        <x:v>Gross profit</x:v>
      </x:c>
      <x:c r="B8" s="12" t="n">
        <x:f>B6-B7</x:f>
        <x:v>243600</x:v>
      </x:c>
      <x:c r="C8" s="12" t="n">
        <x:f>C6-C7</x:f>
        <x:v>243600</x:v>
      </x:c>
      <x:c r="D8" s="12" t="n">
        <x:f>D6-D7</x:f>
        <x:v>243600</x:v>
      </x:c>
      <x:c r="E8" s="12" t="n">
        <x:f>E6-E7</x:f>
        <x:v>243600</x:v>
      </x:c>
      <x:c r="F8" s="12" t="n">
        <x:f>F6-F7</x:f>
        <x:v>243600</x:v>
      </x:c>
      <x:c r="G8" s="12" t="n">
        <x:f>G6-G7</x:f>
        <x:v>243600</x:v>
      </x:c>
      <x:c r="H8" s="12" t="n">
        <x:f>H6-H7</x:f>
        <x:v>243600</x:v>
      </x:c>
      <x:c r="I8" s="12" t="n">
        <x:f>I6-I7</x:f>
        <x:v>243600</x:v>
      </x:c>
      <x:c r="J8" s="12" t="n">
        <x:f>J6-J7</x:f>
        <x:v>243600</x:v>
      </x:c>
      <x:c r="K8" s="12" t="n">
        <x:f>K6-K7</x:f>
        <x:v>243600</x:v>
      </x:c>
      <x:c r="L8" s="15" t="n">
        <x:f>L6-L7</x:f>
        <x:v>243600</x:v>
      </x:c>
      <x:c r="M8" s="15" t="n">
        <x:f>M6-M7</x:f>
        <x:v>243600</x:v>
      </x:c>
      <x:c r="N8" s="15" t="n">
        <x:f>SUM(B8:M8)</x:f>
        <x:v>2923200</x:v>
      </x:c>
    </x:row>
    <x:row r="9" ht="15" hidden="0" customHeight="1">
      <x:c r="A9" s="12" t="str">
        <x:v>Payroll</x:v>
      </x:c>
      <x:c r="B9" s="12" t="n">
        <x:f>Assumptions!$D$11</x:f>
        <x:v>125000</x:v>
      </x:c>
      <x:c r="C9" s="12" t="n">
        <x:f>Assumptions!$D$11</x:f>
        <x:v>125000</x:v>
      </x:c>
      <x:c r="D9" s="12" t="n">
        <x:f>Assumptions!$D$11</x:f>
        <x:v>125000</x:v>
      </x:c>
      <x:c r="E9" s="12" t="n">
        <x:f>Assumptions!$D$11</x:f>
        <x:v>125000</x:v>
      </x:c>
      <x:c r="F9" s="12" t="n">
        <x:f>Assumptions!$D$11</x:f>
        <x:v>125000</x:v>
      </x:c>
      <x:c r="G9" s="12" t="n">
        <x:f>Assumptions!$D$11</x:f>
        <x:v>125000</x:v>
      </x:c>
      <x:c r="H9" s="12" t="n">
        <x:f>Assumptions!$D$11</x:f>
        <x:v>125000</x:v>
      </x:c>
      <x:c r="I9" s="12" t="n">
        <x:f>Assumptions!$D$11</x:f>
        <x:v>125000</x:v>
      </x:c>
      <x:c r="J9" s="12" t="n">
        <x:f>Assumptions!$D$11</x:f>
        <x:v>125000</x:v>
      </x:c>
      <x:c r="K9" s="12" t="n">
        <x:f>Assumptions!$D$11</x:f>
        <x:v>125000</x:v>
      </x:c>
      <x:c r="L9" s="15" t="n">
        <x:f>Assumptions!$D$11</x:f>
        <x:v>125000</x:v>
      </x:c>
      <x:c r="M9" s="15" t="n">
        <x:f>Assumptions!$D$11</x:f>
        <x:v>125000</x:v>
      </x:c>
      <x:c r="N9" s="15" t="n">
        <x:f>SUM(B9:M9)</x:f>
        <x:v>1500000</x:v>
      </x:c>
    </x:row>
    <x:row r="10" ht="15" hidden="0" customHeight="1">
      <x:c r="A10" s="12" t="str">
        <x:v>Fixed OPEX</x:v>
      </x:c>
      <x:c r="B10" s="12" t="n">
        <x:f>Assumptions!$D$12</x:f>
        <x:v>110000</x:v>
      </x:c>
      <x:c r="C10" s="12" t="n">
        <x:f>Assumptions!$D$12</x:f>
        <x:v>110000</x:v>
      </x:c>
      <x:c r="D10" s="12" t="n">
        <x:f>Assumptions!$D$12</x:f>
        <x:v>110000</x:v>
      </x:c>
      <x:c r="E10" s="12" t="n">
        <x:f>Assumptions!$D$12</x:f>
        <x:v>110000</x:v>
      </x:c>
      <x:c r="F10" s="12" t="n">
        <x:f>Assumptions!$D$12</x:f>
        <x:v>110000</x:v>
      </x:c>
      <x:c r="G10" s="12" t="n">
        <x:f>Assumptions!$D$12</x:f>
        <x:v>110000</x:v>
      </x:c>
      <x:c r="H10" s="12" t="n">
        <x:f>Assumptions!$D$12</x:f>
        <x:v>110000</x:v>
      </x:c>
      <x:c r="I10" s="12" t="n">
        <x:f>Assumptions!$D$12</x:f>
        <x:v>110000</x:v>
      </x:c>
      <x:c r="J10" s="12" t="n">
        <x:f>Assumptions!$D$12</x:f>
        <x:v>110000</x:v>
      </x:c>
      <x:c r="K10" s="12" t="n">
        <x:f>Assumptions!$D$12</x:f>
        <x:v>110000</x:v>
      </x:c>
      <x:c r="L10" s="15" t="n">
        <x:f>Assumptions!$D$12</x:f>
        <x:v>110000</x:v>
      </x:c>
      <x:c r="M10" s="15" t="n">
        <x:f>Assumptions!$D$12</x:f>
        <x:v>110000</x:v>
      </x:c>
      <x:c r="N10" s="15" t="n">
        <x:f>SUM(B10:M10)</x:f>
        <x:v>1320000</x:v>
      </x:c>
    </x:row>
    <x:row r="11" ht="15" hidden="0" customHeight="1">
      <x:c r="A11" s="12" t="str">
        <x:v>Operating profit</x:v>
      </x:c>
      <x:c r="B11" s="12" t="n">
        <x:f>B8-B9-B10</x:f>
        <x:v>8600</x:v>
      </x:c>
      <x:c r="C11" s="12" t="n">
        <x:f>C8-C9-C10</x:f>
        <x:v>8600</x:v>
      </x:c>
      <x:c r="D11" s="12" t="n">
        <x:f>D8-D9-D10</x:f>
        <x:v>8600</x:v>
      </x:c>
      <x:c r="E11" s="12" t="n">
        <x:f>E8-E9-E10</x:f>
        <x:v>8600</x:v>
      </x:c>
      <x:c r="F11" s="12" t="n">
        <x:f>F8-F9-F10</x:f>
        <x:v>8600</x:v>
      </x:c>
      <x:c r="G11" s="12" t="n">
        <x:f>G8-G9-G10</x:f>
        <x:v>8600</x:v>
      </x:c>
      <x:c r="H11" s="12" t="n">
        <x:f>H8-H9-H10</x:f>
        <x:v>8600</x:v>
      </x:c>
      <x:c r="I11" s="12" t="n">
        <x:f>I8-I9-I10</x:f>
        <x:v>8600</x:v>
      </x:c>
      <x:c r="J11" s="12" t="n">
        <x:f>J8-J9-J10</x:f>
        <x:v>8600</x:v>
      </x:c>
      <x:c r="K11" s="12" t="n">
        <x:f>K8-K9-K10</x:f>
        <x:v>8600</x:v>
      </x:c>
      <x:c r="L11" s="15" t="n">
        <x:f>L8-L9-L10</x:f>
        <x:v>8600</x:v>
      </x:c>
      <x:c r="M11" s="15" t="n">
        <x:f>M8-M9-M10</x:f>
        <x:v>8600</x:v>
      </x:c>
      <x:c r="N11" s="15" t="n">
        <x:f>SUM(B11:M11)</x:f>
        <x:v>103200</x:v>
      </x:c>
    </x:row>
    <x:row r="12" ht="15" hidden="0" customHeight="1">
      <x:c r="A12" s="12" t="str">
        <x:v>Operating margin</x:v>
      </x:c>
      <x:c r="B12" s="19" t="n">
        <x:f>B11/B6</x:f>
        <x:v>0.02471264367816092</x:v>
      </x:c>
      <x:c r="C12" s="19" t="n">
        <x:f>C11/C6</x:f>
        <x:v>0.02471264367816092</x:v>
      </x:c>
      <x:c r="D12" s="19" t="n">
        <x:f>D11/D6</x:f>
        <x:v>0.02471264367816092</x:v>
      </x:c>
      <x:c r="E12" s="19" t="n">
        <x:f>E11/E6</x:f>
        <x:v>0.02471264367816092</x:v>
      </x:c>
      <x:c r="F12" s="19" t="n">
        <x:f>F11/F6</x:f>
        <x:v>0.02471264367816092</x:v>
      </x:c>
      <x:c r="G12" s="19" t="n">
        <x:f>G11/G6</x:f>
        <x:v>0.02471264367816092</x:v>
      </x:c>
      <x:c r="H12" s="19" t="n">
        <x:f>H11/H6</x:f>
        <x:v>0.02471264367816092</x:v>
      </x:c>
      <x:c r="I12" s="19" t="n">
        <x:f>I11/I6</x:f>
        <x:v>0.02471264367816092</x:v>
      </x:c>
      <x:c r="J12" s="19" t="n">
        <x:f>J11/J6</x:f>
        <x:v>0.02471264367816092</x:v>
      </x:c>
      <x:c r="K12" s="19" t="n">
        <x:f>K11/K6</x:f>
        <x:v>0.02471264367816092</x:v>
      </x:c>
      <x:c r="L12" s="20" t="n">
        <x:f>L11/L6</x:f>
        <x:v>0.02471264367816092</x:v>
      </x:c>
      <x:c r="M12" s="20" t="n">
        <x:f>M11/M6</x:f>
        <x:v>0.02471264367816092</x:v>
      </x:c>
      <x:c r="N12" s="20" t="n">
        <x:f>N11/N6</x:f>
        <x:v>0.02471264367816092</x:v>
      </x:c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b023fad6374c4c71"/>
</x:worksheet>
</file>

<file path=xl/worksheets/sheet18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Break-Even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Metric</x:v>
      </x:c>
      <x:c r="B5" s="11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Fixed cost</x:v>
      </x:c>
      <x:c r="B6" s="12" t="n">
        <x:f>Assumptions!D11+Assumptions!D12</x:f>
        <x:v>235000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Contribution margin %</x:v>
      </x:c>
      <x:c r="B7" s="19" t="n">
        <x:f>1-Assumptions!D8</x:f>
        <x:v>0.7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Break-even revenue</x:v>
      </x:c>
      <x:c r="B8" s="12" t="n">
        <x:f>B6/B7</x:f>
        <x:v>335714.28571428574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Break-even covers</x:v>
      </x:c>
      <x:c r="B9" s="12" t="n">
        <x:f>B8/Assumptions!D7</x:f>
        <x:v>5788.177339901478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107ba35d8ed64201"/>
</x:worksheet>
</file>

<file path=xl/worksheets/sheet19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Cash Flow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Metric</x:v>
      </x:c>
      <x:c r="B5" s="11" t="str">
        <x:v>M1</x:v>
      </x:c>
      <x:c r="C5" s="11" t="str">
        <x:v>M2</x:v>
      </x:c>
      <x:c r="D5" s="11" t="str">
        <x:v>M3</x:v>
      </x:c>
      <x:c r="E5" s="11" t="str">
        <x:v>M4</x:v>
      </x:c>
      <x:c r="F5" s="11" t="str">
        <x:v>M5</x:v>
      </x:c>
      <x:c r="G5" s="11" t="str">
        <x:v>M6</x:v>
      </x:c>
      <x:c r="H5" s="11" t="str">
        <x:v>M7</x:v>
      </x:c>
      <x:c r="I5" s="11" t="str">
        <x:v>M8</x:v>
      </x:c>
      <x:c r="J5" s="11" t="str">
        <x:v>M9</x:v>
      </x:c>
      <x:c r="K5" s="11" t="str">
        <x:v>M10</x:v>
      </x:c>
      <x:c r="L5" s="11" t="str">
        <x:v>M11</x:v>
      </x:c>
      <x:c r="M5" s="11" t="str">
        <x:v>M12</x:v>
      </x:c>
      <x:c r="N5" s="11" t="str">
        <x:v>Year</x:v>
      </x:c>
    </x:row>
    <x:row r="6" ht="15" hidden="0" customHeight="1">
      <x:c r="A6" s="12" t="str">
        <x:v>Opening cash</x:v>
      </x:c>
      <x:c r="B6" s="12" t="n">
        <x:f>Assumptions!D14</x:f>
        <x:v>300000</x:v>
      </x:c>
      <x:c r="C6" s="12" t="n">
        <x:f>B9</x:f>
        <x:v>-891400</x:v>
      </x:c>
      <x:c r="D6" s="12" t="n">
        <x:f>C9</x:f>
        <x:v>-882800</x:v>
      </x:c>
      <x:c r="E6" s="12" t="n">
        <x:f>D9</x:f>
        <x:v>-874200</x:v>
      </x:c>
      <x:c r="F6" s="12" t="n">
        <x:f>E9</x:f>
        <x:v>-865600</x:v>
      </x:c>
      <x:c r="G6" s="12" t="n">
        <x:f>F9</x:f>
        <x:v>-857000</x:v>
      </x:c>
      <x:c r="H6" s="12" t="n">
        <x:f>G9</x:f>
        <x:v>-848400</x:v>
      </x:c>
      <x:c r="I6" s="12" t="n">
        <x:f>H9</x:f>
        <x:v>-839800</x:v>
      </x:c>
      <x:c r="J6" s="12" t="n">
        <x:f>I9</x:f>
        <x:v>-831200</x:v>
      </x:c>
      <x:c r="K6" s="12" t="n">
        <x:f>J9</x:f>
        <x:v>-822600</x:v>
      </x:c>
      <x:c r="L6" s="15" t="n">
        <x:f>K9</x:f>
        <x:v>-814000</x:v>
      </x:c>
      <x:c r="M6" s="15" t="n">
        <x:f>L9</x:f>
        <x:v>-805400</x:v>
      </x:c>
      <x:c r="N6" s="15"/>
    </x:row>
    <x:row r="7" ht="15" hidden="0" customHeight="1">
      <x:c r="A7" s="12" t="str">
        <x:v>Operating cash flow</x:v>
      </x:c>
      <x:c r="B7" s="12" t="n">
        <x:f>'P&amp;L'!B11</x:f>
        <x:v>8600</x:v>
      </x:c>
      <x:c r="C7" s="12" t="n">
        <x:f>'P&amp;L'!C11</x:f>
        <x:v>8600</x:v>
      </x:c>
      <x:c r="D7" s="12" t="n">
        <x:f>'P&amp;L'!D11</x:f>
        <x:v>8600</x:v>
      </x:c>
      <x:c r="E7" s="12" t="n">
        <x:f>'P&amp;L'!E11</x:f>
        <x:v>8600</x:v>
      </x:c>
      <x:c r="F7" s="12" t="n">
        <x:f>'P&amp;L'!F11</x:f>
        <x:v>8600</x:v>
      </x:c>
      <x:c r="G7" s="12" t="n">
        <x:f>'P&amp;L'!G11</x:f>
        <x:v>8600</x:v>
      </x:c>
      <x:c r="H7" s="12" t="n">
        <x:f>'P&amp;L'!H11</x:f>
        <x:v>8600</x:v>
      </x:c>
      <x:c r="I7" s="12" t="n">
        <x:f>'P&amp;L'!I11</x:f>
        <x:v>8600</x:v>
      </x:c>
      <x:c r="J7" s="12" t="n">
        <x:f>'P&amp;L'!J11</x:f>
        <x:v>8600</x:v>
      </x:c>
      <x:c r="K7" s="12" t="n">
        <x:f>'P&amp;L'!K11</x:f>
        <x:v>8600</x:v>
      </x:c>
      <x:c r="L7" s="15" t="n">
        <x:f>'P&amp;L'!L11</x:f>
        <x:v>8600</x:v>
      </x:c>
      <x:c r="M7" s="15" t="n">
        <x:f>'P&amp;L'!M11</x:f>
        <x:v>8600</x:v>
      </x:c>
      <x:c r="N7" s="15" t="n">
        <x:f>SUM(B7:M7)</x:f>
        <x:v>103200</x:v>
      </x:c>
    </x:row>
    <x:row r="8" ht="15" hidden="0" customHeight="1">
      <x:c r="A8" s="12" t="str">
        <x:v>CAPEX</x:v>
      </x:c>
      <x:c r="B8" s="12" t="n">
        <x:f>-Assumptions!D13</x:f>
        <x:v>-1200000</x:v>
      </x:c>
      <x:c r="C8" s="12" t="n">
        <x:f>0</x:f>
        <x:v>0</x:v>
      </x:c>
      <x:c r="D8" s="12" t="n">
        <x:f>0</x:f>
        <x:v>0</x:v>
      </x:c>
      <x:c r="E8" s="12" t="n">
        <x:f>0</x:f>
        <x:v>0</x:v>
      </x:c>
      <x:c r="F8" s="12" t="n">
        <x:f>0</x:f>
        <x:v>0</x:v>
      </x:c>
      <x:c r="G8" s="12" t="n">
        <x:f>0</x:f>
        <x:v>0</x:v>
      </x:c>
      <x:c r="H8" s="12" t="n">
        <x:f>0</x:f>
        <x:v>0</x:v>
      </x:c>
      <x:c r="I8" s="12" t="n">
        <x:f>0</x:f>
        <x:v>0</x:v>
      </x:c>
      <x:c r="J8" s="12" t="n">
        <x:f>0</x:f>
        <x:v>0</x:v>
      </x:c>
      <x:c r="K8" s="12" t="n">
        <x:f>0</x:f>
        <x:v>0</x:v>
      </x:c>
      <x:c r="L8" s="15" t="n">
        <x:f>0</x:f>
        <x:v>0</x:v>
      </x:c>
      <x:c r="M8" s="15" t="n">
        <x:f>0</x:f>
        <x:v>0</x:v>
      </x:c>
      <x:c r="N8" s="15" t="n">
        <x:f>SUM(B8:M8)</x:f>
        <x:v>-1200000</x:v>
      </x:c>
    </x:row>
    <x:row r="9" ht="15" hidden="0" customHeight="1">
      <x:c r="A9" s="12" t="str">
        <x:v>Closing cash</x:v>
      </x:c>
      <x:c r="B9" s="12" t="n">
        <x:f>SUM(B6:B8)</x:f>
        <x:v>-891400</x:v>
      </x:c>
      <x:c r="C9" s="12" t="n">
        <x:f>SUM(C6:C8)</x:f>
        <x:v>-882800</x:v>
      </x:c>
      <x:c r="D9" s="12" t="n">
        <x:f>SUM(D6:D8)</x:f>
        <x:v>-874200</x:v>
      </x:c>
      <x:c r="E9" s="12" t="n">
        <x:f>SUM(E6:E8)</x:f>
        <x:v>-865600</x:v>
      </x:c>
      <x:c r="F9" s="12" t="n">
        <x:f>SUM(F6:F8)</x:f>
        <x:v>-857000</x:v>
      </x:c>
      <x:c r="G9" s="12" t="n">
        <x:f>SUM(G6:G8)</x:f>
        <x:v>-848400</x:v>
      </x:c>
      <x:c r="H9" s="12" t="n">
        <x:f>SUM(H6:H8)</x:f>
        <x:v>-839800</x:v>
      </x:c>
      <x:c r="I9" s="12" t="n">
        <x:f>SUM(I6:I8)</x:f>
        <x:v>-831200</x:v>
      </x:c>
      <x:c r="J9" s="12" t="n">
        <x:f>SUM(J6:J8)</x:f>
        <x:v>-822600</x:v>
      </x:c>
      <x:c r="K9" s="12" t="n">
        <x:f>SUM(K6:K8)</x:f>
        <x:v>-814000</x:v>
      </x:c>
      <x:c r="L9" s="15" t="n">
        <x:f>SUM(L6:L8)</x:f>
        <x:v>-805400</x:v>
      </x:c>
      <x:c r="M9" s="15" t="n">
        <x:f>SUM(M6:M8)</x:f>
        <x:v>-796800</x:v>
      </x:c>
      <x:c r="N9" s="15" t="n">
        <x:f>M9</x:f>
        <x:v>-796800</x:v>
      </x:c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130445f428984dee"/>
</x:worksheet>
</file>

<file path=xl/worksheets/sheet20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Scenario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303ddb8b04d347b2"/>
</x:worksheet>
</file>

<file path=xl/worksheets/sheet21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KPIs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1f6d3d6888be4c0e"/>
</x:worksheet>
</file>

<file path=xl/worksheets/sheet22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Risks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1" t="str">
        <x:v>Risk</x:v>
      </x:c>
      <x:c r="B5" s="11" t="str">
        <x:v>Likelihood</x:v>
      </x:c>
      <x:c r="C5" s="11" t="str">
        <x:v>Impact</x:v>
      </x:c>
      <x:c r="D5" s="11" t="str">
        <x:v>Mitigation</x:v>
      </x:c>
      <x:c r="E5" s="11" t="str">
        <x:v>Owner</x:v>
      </x:c>
      <x:c r="F5" s="11" t="str">
        <x:v>Status</x:v>
      </x:c>
      <x:c r="G5" s="1"/>
      <x:c r="H5" s="1"/>
      <x:c r="I5" s="1"/>
      <x:c r="J5" s="1"/>
      <x:c r="K5" s="1"/>
    </x:row>
    <x:row r="6" ht="15" hidden="0" customHeight="1">
      <x:c r="A6" s="12" t="str">
        <x:v>Sales below plan</x:v>
      </x:c>
      <x:c r="B6" s="12" t="str">
        <x:v>Medium</x:v>
      </x:c>
      <x:c r="C6" s="12" t="str">
        <x:v>High</x:v>
      </x:c>
      <x:c r="D6" s="12" t="str">
        <x:v>Test demand and preserve cash</x:v>
      </x:c>
      <x:c r="E6" s="12" t="str">
        <x:v>Owner</x:v>
      </x:c>
      <x:c r="F6" s="12" t="str">
        <x:v>Open</x:v>
      </x:c>
      <x:c r="G6" s="1"/>
      <x:c r="H6" s="1"/>
      <x:c r="I6" s="1"/>
      <x:c r="J6" s="1"/>
      <x:c r="K6" s="1"/>
    </x:row>
    <x:row r="7" ht="15" hidden="0" customHeight="1">
      <x:c r="A7" s="12" t="str">
        <x:v>CAPEX overrun</x:v>
      </x:c>
      <x:c r="B7" s="12" t="str">
        <x:v>Medium</x:v>
      </x:c>
      <x:c r="C7" s="12" t="str">
        <x:v>High</x:v>
      </x:c>
      <x:c r="D7" s="12" t="str">
        <x:v>Tender and contingency</x:v>
      </x:c>
      <x:c r="E7" s="12" t="str">
        <x:v>Development</x:v>
      </x:c>
      <x:c r="F7" s="12" t="str">
        <x:v>Open</x:v>
      </x:c>
      <x:c r="G7" s="1"/>
      <x:c r="H7" s="1"/>
      <x:c r="I7" s="1"/>
      <x:c r="J7" s="1"/>
      <x:c r="K7" s="1"/>
    </x:row>
    <x:row r="8" ht="15" hidden="0" customHeight="1">
      <x:c r="A8" s="12" t="str">
        <x:v>Food cost variance</x:v>
      </x:c>
      <x:c r="B8" s="12" t="str">
        <x:v>Medium</x:v>
      </x:c>
      <x:c r="C8" s="12" t="str">
        <x:v>High</x:v>
      </x:c>
      <x:c r="D8" s="12" t="str">
        <x:v>Recipe and purchasing controls</x:v>
      </x:c>
      <x:c r="E8" s="12" t="str">
        <x:v>Operations</x:v>
      </x:c>
      <x:c r="F8" s="12" t="str">
        <x:v>Open</x:v>
      </x:c>
      <x:c r="G8" s="1"/>
      <x:c r="H8" s="1"/>
      <x:c r="I8" s="1"/>
      <x:c r="J8" s="1"/>
      <x:c r="K8" s="1"/>
    </x:row>
    <x:row r="9" ht="15" hidden="0" customHeight="1">
      <x:c r="A9" s="12" t="str">
        <x:v>Recruitment delay</x:v>
      </x:c>
      <x:c r="B9" s="12" t="str">
        <x:v>Medium</x:v>
      </x:c>
      <x:c r="C9" s="12" t="str">
        <x:v>Medium</x:v>
      </x:c>
      <x:c r="D9" s="12" t="str">
        <x:v>Sequence hiring plan</x:v>
      </x:c>
      <x:c r="E9" s="12" t="str">
        <x:v>HR</x:v>
      </x:c>
      <x:c r="F9" s="12" t="str">
        <x:v>Open</x:v>
      </x:c>
      <x:c r="G9" s="1"/>
      <x:c r="H9" s="1"/>
      <x:c r="I9" s="1"/>
      <x:c r="J9" s="1"/>
      <x:c r="K9" s="1"/>
    </x:row>
    <x:row r="10" ht="15" hidden="0" customHeight="1">
      <x:c r="A10" s="12" t="str">
        <x:v>Licensing delay</x:v>
      </x:c>
      <x:c r="B10" s="12" t="str">
        <x:v>Low</x:v>
      </x:c>
      <x:c r="C10" s="12" t="str">
        <x:v>High</x:v>
      </x:c>
      <x:c r="D10" s="12" t="str">
        <x:v>Track approvals and dependencies</x:v>
      </x:c>
      <x:c r="E10" s="12" t="str">
        <x:v>Development</x:v>
      </x:c>
      <x:c r="F10" s="12" t="str">
        <x:v>Open</x:v>
      </x:c>
      <x:c r="G10" s="1"/>
      <x:c r="H10" s="1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"/>
      <x:c r="H11" s="1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"/>
      <x:c r="H12" s="1"/>
      <x:c r="I12" s="1"/>
      <x:c r="J12" s="1"/>
      <x:c r="K12" s="1"/>
    </x:row>
    <x:row r="13" ht="15" hidden="0" customHeight="1">
      <x:c r="A13" s="12"/>
      <x:c r="B13" s="12"/>
      <x:c r="C13" s="12"/>
      <x:c r="D13" s="12"/>
      <x:c r="E13" s="12"/>
      <x:c r="F13" s="12"/>
      <x:c r="G13" s="1"/>
      <x:c r="H13" s="1"/>
      <x:c r="I13" s="1"/>
      <x:c r="J13" s="1"/>
      <x:c r="K13" s="1"/>
    </x:row>
    <x:row r="14" ht="15" hidden="0" customHeight="1">
      <x:c r="A14" s="12"/>
      <x:c r="B14" s="12"/>
      <x:c r="C14" s="12"/>
      <x:c r="D14" s="12"/>
      <x:c r="E14" s="12"/>
      <x:c r="F14" s="12"/>
      <x:c r="G14" s="1"/>
      <x:c r="H14" s="1"/>
      <x:c r="I14" s="1"/>
      <x:c r="J14" s="1"/>
      <x:c r="K14" s="1"/>
    </x:row>
    <x:row r="15" ht="15" hidden="0" customHeight="1">
      <x:c r="A15" s="12"/>
      <x:c r="B15" s="12"/>
      <x:c r="C15" s="12"/>
      <x:c r="D15" s="12"/>
      <x:c r="E15" s="12"/>
      <x:c r="F15" s="12"/>
      <x:c r="G15" s="1"/>
      <x:c r="H15" s="1"/>
      <x:c r="I15" s="1"/>
      <x:c r="J15" s="1"/>
      <x:c r="K15" s="1"/>
    </x:row>
    <x:row r="16" ht="15" hidden="0" customHeight="1">
      <x:c r="A16" s="12"/>
      <x:c r="B16" s="12"/>
      <x:c r="C16" s="12"/>
      <x:c r="D16" s="12"/>
      <x:c r="E16" s="12"/>
      <x:c r="F16" s="12"/>
      <x:c r="G16" s="1"/>
      <x:c r="H16" s="1"/>
      <x:c r="I16" s="1"/>
      <x:c r="J16" s="1"/>
      <x:c r="K16" s="1"/>
    </x:row>
    <x:row r="17" ht="15" hidden="0" customHeight="1">
      <x:c r="A17" s="12"/>
      <x:c r="B17" s="12"/>
      <x:c r="C17" s="12"/>
      <x:c r="D17" s="12"/>
      <x:c r="E17" s="12"/>
      <x:c r="F17" s="12"/>
      <x:c r="G17" s="1"/>
      <x:c r="H17" s="1"/>
      <x:c r="I17" s="1"/>
      <x:c r="J17" s="1"/>
      <x:c r="K17" s="1"/>
    </x:row>
    <x:row r="18" ht="15" hidden="0" customHeight="1">
      <x:c r="A18" s="12"/>
      <x:c r="B18" s="12"/>
      <x:c r="C18" s="12"/>
      <x:c r="D18" s="12"/>
      <x:c r="E18" s="12"/>
      <x:c r="F18" s="12"/>
      <x:c r="G18" s="1"/>
      <x:c r="H18" s="1"/>
      <x:c r="I18" s="1"/>
      <x:c r="J18" s="1"/>
      <x:c r="K18" s="1"/>
    </x:row>
    <x:row r="19" ht="15" hidden="0" customHeight="1">
      <x:c r="A19" s="12"/>
      <x:c r="B19" s="12"/>
      <x:c r="C19" s="12"/>
      <x:c r="D19" s="12"/>
      <x:c r="E19" s="12"/>
      <x:c r="F19" s="12"/>
      <x:c r="G19" s="1"/>
      <x:c r="H19" s="1"/>
      <x:c r="I19" s="1"/>
      <x:c r="J19" s="1"/>
      <x:c r="K19" s="1"/>
    </x:row>
    <x:row r="20" ht="15" hidden="0" customHeight="1">
      <x:c r="A20" s="12"/>
      <x:c r="B20" s="12"/>
      <x:c r="C20" s="12"/>
      <x:c r="D20" s="12"/>
      <x:c r="E20" s="12"/>
      <x:c r="F20" s="12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7e6f0469d76445d8"/>
</x:worksheet>
</file>

<file path=xl/worksheets/sheet23.xml><?xml version="1.0" encoding="utf-8"?>
<x:worksheet xmlns:x="http://schemas.openxmlformats.org/spreadsheetml/2006/main">
  <x:sheetPr>
    <x:tabColor rgb="FF9FB8C6"/>
  </x:sheetPr>
  <x:sheetViews>
    <x:sheetView showGridLines="0" workbookViewId="0"/>
  </x:sheetViews>
  <x:sheetFormatPr defaultRowHeight="15"/>
  <x:sheetData>
    <x:row r="1" ht="48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.200000762939453" hidden="0" customHeight="1">
      <x:c r="A2" s="2" t="str">
        <x:v>ReadMe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hidden="0" customHeight="1">
      <x:c r="A5" s="11" t="str">
        <x:v>Topic</x:v>
      </x:c>
      <x:c r="B5" s="11" t="str">
        <x:v>Input or finding</x:v>
      </x:c>
      <x:c r="C5" s="11" t="str">
        <x:v>Source</x:v>
      </x:c>
      <x:c r="D5" s="11" t="str">
        <x:v>Action</x:v>
      </x:c>
      <x:c r="E5" s="1"/>
      <x:c r="F5" s="1"/>
      <x:c r="G5" s="1"/>
      <x:c r="H5" s="1"/>
      <x:c r="I5" s="1"/>
      <x:c r="J5" s="1"/>
      <x:c r="K5" s="1"/>
    </x:row>
    <x:row r="6" ht="15" hidden="0" customHeight="1">
      <x:c r="A6" s="12" t="str">
        <x:v>Primary question</x:v>
      </x:c>
      <x:c r="B6" s="16" t="str"/>
      <x:c r="C6" s="16" t="str"/>
      <x:c r="D6" s="16" t="str"/>
      <x:c r="E6" s="1"/>
      <x:c r="F6" s="1"/>
      <x:c r="G6" s="1"/>
      <x:c r="H6" s="1"/>
      <x:c r="I6" s="1"/>
      <x:c r="J6" s="1"/>
      <x:c r="K6" s="1"/>
    </x:row>
    <x:row r="7" ht="15" hidden="0" customHeight="1">
      <x:c r="A7" s="12" t="str">
        <x:v>Evidence reviewed</x:v>
      </x:c>
      <x:c r="B7" s="16" t="str"/>
      <x:c r="C7" s="16" t="str"/>
      <x:c r="D7" s="16" t="str"/>
      <x:c r="E7" s="1"/>
      <x:c r="F7" s="1"/>
      <x:c r="G7" s="1"/>
      <x:c r="H7" s="1"/>
      <x:c r="I7" s="1"/>
      <x:c r="J7" s="1"/>
      <x:c r="K7" s="1"/>
    </x:row>
    <x:row r="8" ht="15" hidden="0" customHeight="1">
      <x:c r="A8" s="12" t="str">
        <x:v>Key assumption</x:v>
      </x:c>
      <x:c r="B8" s="16" t="str"/>
      <x:c r="C8" s="16" t="str"/>
      <x:c r="D8" s="16" t="str"/>
      <x:c r="E8" s="1"/>
      <x:c r="F8" s="1"/>
      <x:c r="G8" s="1"/>
      <x:c r="H8" s="1"/>
      <x:c r="I8" s="1"/>
      <x:c r="J8" s="1"/>
      <x:c r="K8" s="1"/>
    </x:row>
    <x:row r="9" ht="15" hidden="0" customHeight="1">
      <x:c r="A9" s="12" t="str">
        <x:v>Decision or follow-up</x:v>
      </x:c>
      <x:c r="B9" s="16" t="str"/>
      <x:c r="C9" s="16" t="str"/>
      <x:c r="D9" s="16" t="str"/>
      <x:c r="E9" s="1"/>
      <x:c r="F9" s="1"/>
      <x:c r="G9" s="1"/>
      <x:c r="H9" s="1"/>
      <x:c r="I9" s="1"/>
      <x:c r="J9" s="1"/>
      <x:c r="K9" s="1"/>
    </x:row>
    <x:row r="10" ht="15" hidden="0" customHeight="1">
      <x:c r="A10" s="12"/>
      <x:c r="B10" s="16"/>
      <x:c r="C10" s="16"/>
      <x:c r="D10" s="16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2"/>
      <x:c r="B11" s="16"/>
      <x:c r="C11" s="16"/>
      <x:c r="D11" s="16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2"/>
      <x:c r="B12" s="16"/>
      <x:c r="C12" s="16"/>
      <x:c r="D12" s="16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2"/>
      <x:c r="B13" s="16"/>
      <x:c r="C13" s="16"/>
      <x:c r="D13" s="16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2"/>
      <x:c r="B14" s="16"/>
      <x:c r="C14" s="16"/>
      <x:c r="D14" s="16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2"/>
      <x:c r="B15" s="16"/>
      <x:c r="C15" s="16"/>
      <x:c r="D15" s="16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2"/>
      <x:c r="B16" s="16"/>
      <x:c r="C16" s="16"/>
      <x:c r="D16" s="16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2"/>
      <x:c r="B17" s="16"/>
      <x:c r="C17" s="16"/>
      <x:c r="D17" s="16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2"/>
      <x:c r="B18" s="16"/>
      <x:c r="C18" s="16"/>
      <x:c r="D18" s="16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2"/>
      <x:c r="B19" s="16"/>
      <x:c r="C19" s="16"/>
      <x:c r="D19" s="16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2"/>
      <x:c r="B20" s="16"/>
      <x:c r="C20" s="16"/>
      <x:c r="D20" s="16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72bff16cafd4e75"/>
</x:worksheet>
</file>