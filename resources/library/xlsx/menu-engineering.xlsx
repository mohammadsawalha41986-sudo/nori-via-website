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c9f9d6936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7cba49020b24965"/>
    <x:sheet xmlns:r="http://schemas.openxmlformats.org/officeDocument/2006/relationships" name="Summary" sheetId="2" r:id="Re07d7f4235d54cbe"/>
    <x:sheet xmlns:r="http://schemas.openxmlformats.org/officeDocument/2006/relationships" name="Instructions" sheetId="3" r:id="Ra9b0d4a88d83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d4149548b4b93" /><Relationship Type="http://schemas.openxmlformats.org/officeDocument/2006/relationships/theme" Target="/xl/theme/theme1.xml" Id="R5ea82b31f2b94042" /><Relationship Type="http://schemas.openxmlformats.org/officeDocument/2006/relationships/sharedStrings" Target="/xl/sharedStrings.xml" Id="Rfb18c01c4e3a479b" /><Relationship Type="http://schemas.openxmlformats.org/officeDocument/2006/relationships/worksheet" Target="/xl/worksheets/sheet1.xml" Id="Rf7cba49020b24965" /><Relationship Type="http://schemas.openxmlformats.org/officeDocument/2006/relationships/worksheet" Target="/xl/worksheets/sheet2.xml" Id="Re07d7f4235d54cbe" /><Relationship Type="http://schemas.openxmlformats.org/officeDocument/2006/relationships/worksheet" Target="/xl/worksheets/sheet3.xml" Id="Ra9b0d4a88d834a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4e2b637d5bf4a3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80b77ce8966943f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64c395cc2aa54b8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cbf3657e-90f3-4de8-b50e-9094bb9a97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e2b637d5bf4a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87aef57a-c34f-4b89-ac65-2138a2ba14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b77ce8966943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d65a8fa-43db-438c-baa7-27bc90aa8e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c395cc2aa54b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5206ef19f341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74f53ddf1b34b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9b15661cbef4e11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Menu Engineering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Menu item</x:v>
      </x:c>
      <x:c r="B5" s="8" t="str">
        <x:v>Units sold</x:v>
      </x:c>
      <x:c r="C5" s="8" t="str">
        <x:v>Selling price</x:v>
      </x:c>
      <x:c r="D5" s="8" t="str">
        <x:v>Item cost</x:v>
      </x:c>
      <x:c r="E5" s="8" t="str">
        <x:v>Contribution/unit</x:v>
      </x:c>
      <x:c r="F5" s="8" t="str">
        <x:v>Total contribution</x:v>
      </x:c>
      <x:c r="G5" s="8" t="str">
        <x:v>Popularity share</x:v>
      </x:c>
      <x:c r="H5" s="8" t="str">
        <x:v>Decision</x:v>
      </x:c>
      <x:c r="I5" s="1"/>
      <x:c r="J5" s="1"/>
      <x:c r="K5" s="1"/>
    </x:row>
    <x:row r="6" ht="15" hidden="0" customHeight="1">
      <x:c r="A6" s="15" t="str">
        <x:v>Item A</x:v>
      </x:c>
      <x:c r="B6" s="16" t="n">
        <x:v>420</x:v>
      </x:c>
      <x:c r="C6" s="16" t="n">
        <x:v>44</x:v>
      </x:c>
      <x:c r="D6" s="16" t="n">
        <x:v>13</x:v>
      </x:c>
      <x:c r="E6" s="16" t="n">
        <x:f>IFERROR(C6-D6,"")</x:f>
        <x:v>31</x:v>
      </x:c>
      <x:c r="F6" s="16" t="n">
        <x:f>IFERROR(B6*E6,"")</x:f>
        <x:v>13020</x:v>
      </x:c>
      <x:c r="G6" s="16" t="n">
        <x:f>IFERROR(B6/SUM($B$6:$B$25),"")</x:f>
        <x:v>0.49411764705882355</x:v>
      </x:c>
      <x:c r="H6" s="15" t="str">
        <x:v>Review</x:v>
      </x:c>
      <x:c r="I6" s="1"/>
      <x:c r="J6" s="1"/>
      <x:c r="K6" s="1"/>
    </x:row>
    <x:row r="7" ht="15" hidden="0" customHeight="1">
      <x:c r="A7" s="15" t="str">
        <x:v>Item B</x:v>
      </x:c>
      <x:c r="B7" s="16" t="n">
        <x:v>250</x:v>
      </x:c>
      <x:c r="C7" s="16" t="n">
        <x:v>38</x:v>
      </x:c>
      <x:c r="D7" s="16" t="n">
        <x:v>12</x:v>
      </x:c>
      <x:c r="E7" s="16" t="n">
        <x:f>IFERROR(C7-D7,"")</x:f>
        <x:v>26</x:v>
      </x:c>
      <x:c r="F7" s="16" t="n">
        <x:f>IFERROR(B7*E7,"")</x:f>
        <x:v>6500</x:v>
      </x:c>
      <x:c r="G7" s="16" t="n">
        <x:f>IFERROR(B7/SUM($B$6:$B$25),"")</x:f>
        <x:v>0.29411764705882354</x:v>
      </x:c>
      <x:c r="H7" s="15" t="str">
        <x:v>Review</x:v>
      </x:c>
      <x:c r="I7" s="1"/>
      <x:c r="J7" s="1"/>
      <x:c r="K7" s="1"/>
    </x:row>
    <x:row r="8" ht="15" hidden="0" customHeight="1">
      <x:c r="A8" s="15" t="str">
        <x:v>Item C</x:v>
      </x:c>
      <x:c r="B8" s="16" t="n">
        <x:v>180</x:v>
      </x:c>
      <x:c r="C8" s="16" t="n">
        <x:v>52</x:v>
      </x:c>
      <x:c r="D8" s="16" t="n">
        <x:v>20</x:v>
      </x:c>
      <x:c r="E8" s="16" t="n">
        <x:f>IFERROR(C8-D8,"")</x:f>
        <x:v>32</x:v>
      </x:c>
      <x:c r="F8" s="16" t="n">
        <x:f>IFERROR(B8*E8,"")</x:f>
        <x:v>5760</x:v>
      </x:c>
      <x:c r="G8" s="16" t="n">
        <x:f>IFERROR(B8/SUM($B$6:$B$25),"")</x:f>
        <x:v>0.21176470588235294</x:v>
      </x:c>
      <x:c r="H8" s="15" t="str">
        <x:v>Review</x:v>
      </x:c>
      <x:c r="I8" s="1"/>
      <x:c r="J8" s="1"/>
      <x:c r="K8" s="1"/>
    </x:row>
    <x:row r="9" ht="15" hidden="0" customHeight="1">
      <x:c r="A9" s="15"/>
      <x:c r="B9" s="16"/>
      <x:c r="C9" s="16"/>
      <x:c r="D9" s="16"/>
      <x:c r="E9" s="16" t="n">
        <x:f>IFERROR(C9-D9,"")</x:f>
        <x:v>0</x:v>
      </x:c>
      <x:c r="F9" s="16" t="n">
        <x:f>IFERROR(B9*E9,"")</x:f>
        <x:v>0</x:v>
      </x:c>
      <x:c r="G9" s="16" t="n">
        <x:f>IFERROR(B9/SUM($B$6:$B$25),"")</x:f>
        <x:v>0</x:v>
      </x:c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 t="n">
        <x:f>IFERROR(C10-D10,"")</x:f>
        <x:v>0</x:v>
      </x:c>
      <x:c r="F10" s="16" t="n">
        <x:f>IFERROR(B10*E10,"")</x:f>
        <x:v>0</x:v>
      </x:c>
      <x:c r="G10" s="16" t="n">
        <x:f>IFERROR(B10/SUM($B$6:$B$25),"")</x:f>
        <x:v>0</x:v>
      </x:c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 t="n">
        <x:f>IFERROR(C11-D11,"")</x:f>
        <x:v>0</x:v>
      </x:c>
      <x:c r="F11" s="16" t="n">
        <x:f>IFERROR(B11*E11,"")</x:f>
        <x:v>0</x:v>
      </x:c>
      <x:c r="G11" s="16" t="n">
        <x:f>IFERROR(B11/SUM($B$6:$B$25),"")</x:f>
        <x:v>0</x:v>
      </x:c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 t="n">
        <x:f>IFERROR(C12-D12,"")</x:f>
        <x:v>0</x:v>
      </x:c>
      <x:c r="F12" s="16" t="n">
        <x:f>IFERROR(B12*E12,"")</x:f>
        <x:v>0</x:v>
      </x:c>
      <x:c r="G12" s="16" t="n">
        <x:f>IFERROR(B12/SUM($B$6:$B$25),"")</x:f>
        <x:v>0</x:v>
      </x:c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 t="n">
        <x:f>IFERROR(C13-D13,"")</x:f>
        <x:v>0</x:v>
      </x:c>
      <x:c r="F13" s="16" t="n">
        <x:f>IFERROR(B13*E13,"")</x:f>
        <x:v>0</x:v>
      </x:c>
      <x:c r="G13" s="16" t="n">
        <x:f>IFERROR(B13/SUM($B$6:$B$25),"")</x:f>
        <x:v>0</x:v>
      </x:c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 t="n">
        <x:f>IFERROR(C14-D14,"")</x:f>
        <x:v>0</x:v>
      </x:c>
      <x:c r="F14" s="16" t="n">
        <x:f>IFERROR(B14*E14,"")</x:f>
        <x:v>0</x:v>
      </x:c>
      <x:c r="G14" s="16" t="n">
        <x:f>IFERROR(B14/SUM($B$6:$B$25),"")</x:f>
        <x:v>0</x:v>
      </x:c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 t="n">
        <x:f>IFERROR(C15-D15,"")</x:f>
        <x:v>0</x:v>
      </x:c>
      <x:c r="F15" s="16" t="n">
        <x:f>IFERROR(B15*E15,"")</x:f>
        <x:v>0</x:v>
      </x:c>
      <x:c r="G15" s="16" t="n">
        <x:f>IFERROR(B15/SUM($B$6:$B$25),"")</x:f>
        <x:v>0</x:v>
      </x:c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 t="n">
        <x:f>IFERROR(C16-D16,"")</x:f>
        <x:v>0</x:v>
      </x:c>
      <x:c r="F16" s="16" t="n">
        <x:f>IFERROR(B16*E16,"")</x:f>
        <x:v>0</x:v>
      </x:c>
      <x:c r="G16" s="16" t="n">
        <x:f>IFERROR(B16/SUM($B$6:$B$25),"")</x:f>
        <x:v>0</x:v>
      </x:c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 t="n">
        <x:f>IFERROR(C17-D17,"")</x:f>
        <x:v>0</x:v>
      </x:c>
      <x:c r="F17" s="16" t="n">
        <x:f>IFERROR(B17*E17,"")</x:f>
        <x:v>0</x:v>
      </x:c>
      <x:c r="G17" s="16" t="n">
        <x:f>IFERROR(B17/SUM($B$6:$B$25),"")</x:f>
        <x:v>0</x:v>
      </x:c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 t="n">
        <x:f>IFERROR(C18-D18,"")</x:f>
        <x:v>0</x:v>
      </x:c>
      <x:c r="F18" s="16" t="n">
        <x:f>IFERROR(B18*E18,"")</x:f>
        <x:v>0</x:v>
      </x:c>
      <x:c r="G18" s="16" t="n">
        <x:f>IFERROR(B18/SUM($B$6:$B$25),"")</x:f>
        <x:v>0</x:v>
      </x:c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 t="n">
        <x:f>IFERROR(C19-D19,"")</x:f>
        <x:v>0</x:v>
      </x:c>
      <x:c r="F19" s="16" t="n">
        <x:f>IFERROR(B19*E19,"")</x:f>
        <x:v>0</x:v>
      </x:c>
      <x:c r="G19" s="16" t="n">
        <x:f>IFERROR(B19/SUM($B$6:$B$25),"")</x:f>
        <x:v>0</x:v>
      </x:c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 t="n">
        <x:f>IFERROR(C20-D20,"")</x:f>
        <x:v>0</x:v>
      </x:c>
      <x:c r="F20" s="16" t="n">
        <x:f>IFERROR(B20*E20,"")</x:f>
        <x:v>0</x:v>
      </x:c>
      <x:c r="G20" s="16" t="n">
        <x:f>IFERROR(B20/SUM($B$6:$B$25),"")</x:f>
        <x:v>0</x:v>
      </x:c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 t="n">
        <x:f>IFERROR(C21-D21,"")</x:f>
        <x:v>0</x:v>
      </x:c>
      <x:c r="F21" s="16" t="n">
        <x:f>IFERROR(B21*E21,"")</x:f>
        <x:v>0</x:v>
      </x:c>
      <x:c r="G21" s="16" t="n">
        <x:f>IFERROR(B21/SUM($B$6:$B$25),"")</x:f>
        <x:v>0</x:v>
      </x:c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 t="n">
        <x:f>IFERROR(C22-D22,"")</x:f>
        <x:v>0</x:v>
      </x:c>
      <x:c r="F22" s="16" t="n">
        <x:f>IFERROR(B22*E22,"")</x:f>
        <x:v>0</x:v>
      </x:c>
      <x:c r="G22" s="16" t="n">
        <x:f>IFERROR(B22/SUM($B$6:$B$25),"")</x:f>
        <x:v>0</x:v>
      </x:c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 t="n">
        <x:f>IFERROR(C23-D23,"")</x:f>
        <x:v>0</x:v>
      </x:c>
      <x:c r="F23" s="16" t="n">
        <x:f>IFERROR(B23*E23,"")</x:f>
        <x:v>0</x:v>
      </x:c>
      <x:c r="G23" s="16" t="n">
        <x:f>IFERROR(B23/SUM($B$6:$B$25),"")</x:f>
        <x:v>0</x:v>
      </x:c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 t="n">
        <x:f>IFERROR(C24-D24,"")</x:f>
        <x:v>0</x:v>
      </x:c>
      <x:c r="F24" s="16" t="n">
        <x:f>IFERROR(B24*E24,"")</x:f>
        <x:v>0</x:v>
      </x:c>
      <x:c r="G24" s="16" t="n">
        <x:f>IFERROR(B24/SUM($B$6:$B$25),"")</x:f>
        <x:v>0</x:v>
      </x:c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 t="n">
        <x:f>IFERROR(C25-D25,"")</x:f>
        <x:v>0</x:v>
      </x:c>
      <x:c r="F25" s="16" t="n">
        <x:f>IFERROR(B25*E25,"")</x:f>
        <x:v>0</x:v>
      </x:c>
      <x:c r="G25" s="16" t="n">
        <x:f>IFERROR(B25/SUM($B$6:$B$25),"")</x:f>
        <x:v>0</x:v>
      </x:c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b45206ef19f34160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Menu Engineering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21" t="str">
        <x:v>Rows entered</x:v>
      </x:c>
      <x:c r="B6" s="22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21" t="str">
        <x:v>Average contribution</x:v>
      </x:c>
      <x:c r="B7" s="23" t="n">
        <x:f>AVERAGE(Inputs!G6:G25)</x:f>
        <x:v>0.05</x:v>
      </x:c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574f53ddf1b34be6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Menu Engineering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9" t="str">
        <x:v>How to use this workbook</x:v>
      </x:c>
      <x:c r="B5" s="29"/>
      <x:c r="C5" s="29"/>
      <x:c r="D5" s="29"/>
      <x:c r="E5" s="29"/>
      <x:c r="F5" s="29"/>
      <x:c r="G5" s="29"/>
      <x:c r="H5" s="29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30" t="n">
        <x:v>1</x:v>
      </x:c>
      <x:c r="B7" s="31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30" t="n">
        <x:v>2</x:v>
      </x:c>
      <x:c r="B8" s="31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30" t="n">
        <x:v>3</x:v>
      </x:c>
      <x:c r="B9" s="31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30" t="n">
        <x:v>4</x:v>
      </x:c>
      <x:c r="B10" s="31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a9b15661cbef4e11"/>
</x:worksheet>
</file>