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82fe2f257042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858330b2c2c64429"/>
    <x:sheet xmlns:r="http://schemas.openxmlformats.org/officeDocument/2006/relationships" name="Summary" sheetId="2" r:id="R38c35088497f4963"/>
    <x:sheet xmlns:r="http://schemas.openxmlformats.org/officeDocument/2006/relationships" name="Instructions" sheetId="3" r:id="R17b9b82dc8d34d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6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2" xfId="0" applyNumberFormat="1" applyFont="1" applyFill="1" applyBorder="1"/>
    <x:xf numFmtId="201" fontId="1" fillId="0" borderId="2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3b086aed734002" /><Relationship Type="http://schemas.openxmlformats.org/officeDocument/2006/relationships/theme" Target="/xl/theme/theme1.xml" Id="R8b3904e928574aef" /><Relationship Type="http://schemas.openxmlformats.org/officeDocument/2006/relationships/sharedStrings" Target="/xl/sharedStrings.xml" Id="R4b21da9f272b47c5" /><Relationship Type="http://schemas.openxmlformats.org/officeDocument/2006/relationships/worksheet" Target="/xl/worksheets/sheet1.xml" Id="R858330b2c2c64429" /><Relationship Type="http://schemas.openxmlformats.org/officeDocument/2006/relationships/worksheet" Target="/xl/worksheets/sheet2.xml" Id="R38c35088497f4963" /><Relationship Type="http://schemas.openxmlformats.org/officeDocument/2006/relationships/worksheet" Target="/xl/worksheets/sheet3.xml" Id="R17b9b82dc8d34d7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6cc54e02fc4491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b6f79d6e9dae437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61180fc0012a48fc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4acd9b69-06a8-45ad-b732-5e7eadaf84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cc54e02fc449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26b4fdb0-da89-4b6b-895f-67b8fe549f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f79d6e9dae43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b8a1d4cd-f4de-4674-82c6-313be7c415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180fc0012a48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4b6f8f53d6e48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b071b35f2454a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79a4b16da93d40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4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Noriva Break-Even Analysis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8" t="str">
        <x:v>Input</x:v>
      </x:c>
      <x:c r="B5" s="8" t="str">
        <x:v>Value</x:v>
      </x:c>
      <x:c r="C5" s="1"/>
      <x:c r="D5" s="1"/>
      <x:c r="E5" s="1"/>
      <x:c r="F5" s="1"/>
      <x:c r="G5" s="1"/>
      <x:c r="H5" s="1"/>
      <x:c r="I5" s="1"/>
      <x:c r="J5" s="1"/>
      <x:c r="K5" s="1"/>
    </x:row>
    <x:row r="6">
      <x:c r="A6" s="1" t="str">
        <x:v>Monthly fixed costs</x:v>
      </x:c>
      <x:c r="B6" s="10" t="n">
        <x:v>120000</x:v>
      </x:c>
      <x:c r="C6" s="1"/>
      <x:c r="D6" s="1"/>
      <x:c r="E6" s="1"/>
      <x:c r="F6" s="1"/>
      <x:c r="G6" s="1"/>
      <x:c r="H6" s="1"/>
      <x:c r="I6" s="1"/>
      <x:c r="J6" s="1"/>
      <x:c r="K6" s="1"/>
    </x:row>
    <x:row r="7">
      <x:c r="A7" s="1" t="str">
        <x:v>Average check</x:v>
      </x:c>
      <x:c r="B7" s="10" t="n">
        <x:v>55</x:v>
      </x:c>
      <x:c r="C7" s="1"/>
      <x:c r="D7" s="1"/>
      <x:c r="E7" s="1"/>
      <x:c r="F7" s="1"/>
      <x:c r="G7" s="1"/>
      <x:c r="H7" s="1"/>
      <x:c r="I7" s="1"/>
      <x:c r="J7" s="1"/>
      <x:c r="K7" s="1"/>
    </x:row>
    <x:row r="8">
      <x:c r="A8" s="1" t="str">
        <x:v>Variable cost %</x:v>
      </x:c>
      <x:c r="B8" s="11" t="n">
        <x:v>0.38</x:v>
      </x:c>
      <x:c r="C8" s="1"/>
      <x:c r="D8" s="1"/>
      <x:c r="E8" s="1"/>
      <x:c r="F8" s="1"/>
      <x:c r="G8" s="1"/>
      <x:c r="H8" s="1"/>
      <x:c r="I8" s="1"/>
      <x:c r="J8" s="1"/>
      <x:c r="K8" s="1"/>
    </x:row>
    <x:row r="9">
      <x:c r="A9" s="1" t="str">
        <x:v>Contribution margin %</x:v>
      </x:c>
      <x:c r="B9" s="11" t="n">
        <x:f>1-B8</x:f>
        <x:v>0.62</x:v>
      </x:c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" t="str">
        <x:v>Break-even revenue</x:v>
      </x:c>
      <x:c r="B10" s="10" t="n">
        <x:f>B6/B9</x:f>
        <x:v>193548.38709677418</x:v>
      </x:c>
      <x:c r="C10" s="1"/>
      <x:c r="D10" s="1"/>
      <x:c r="E10" s="1"/>
      <x:c r="F10" s="1"/>
      <x:c r="G10" s="1"/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24b6f8f53d6e4861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5"/>
      <x:c r="B1" s="15"/>
      <x:c r="C1" s="15"/>
      <x:c r="D1" s="15"/>
      <x:c r="E1" s="15"/>
      <x:c r="F1" s="15"/>
      <x:c r="G1" s="1"/>
      <x:c r="H1" s="1"/>
      <x:c r="I1" s="1"/>
      <x:c r="J1" s="1"/>
      <x:c r="K1" s="1"/>
    </x:row>
    <x:row r="2" ht="19.200000762939453" hidden="0" customHeight="1">
      <x:c r="A2" s="16" t="str">
        <x:v>Noriva Break-Even Analysis</x:v>
      </x:c>
      <x:c r="B2" s="15"/>
      <x:c r="C2" s="15"/>
      <x:c r="D2" s="15"/>
      <x:c r="E2" s="15"/>
      <x:c r="F2" s="15"/>
      <x:c r="G2" s="1"/>
      <x:c r="H2" s="1"/>
      <x:c r="I2" s="1"/>
      <x:c r="J2" s="1"/>
      <x:c r="K2" s="1"/>
    </x:row>
    <x:row r="3" ht="15" hidden="0" customHeight="1">
      <x:c r="A3" s="17"/>
      <x:c r="B3" s="17"/>
      <x:c r="C3" s="17"/>
      <x:c r="D3" s="17"/>
      <x:c r="E3" s="17"/>
      <x:c r="F3" s="17"/>
      <x:c r="G3" s="1"/>
      <x:c r="H3" s="1"/>
      <x:c r="I3" s="1"/>
      <x:c r="J3" s="1"/>
      <x:c r="K3" s="1"/>
    </x:row>
    <x:row r="4" ht="15" hidden="0" customHeight="1">
      <x:c r="A4" s="15"/>
      <x:c r="B4" s="15"/>
      <x:c r="C4" s="15"/>
      <x:c r="D4" s="15"/>
      <x:c r="E4" s="15"/>
      <x:c r="F4" s="15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5"/>
      <x:c r="D5" s="15"/>
      <x:c r="E5" s="15"/>
      <x:c r="F5" s="15"/>
      <x:c r="G5" s="1"/>
      <x:c r="H5" s="1"/>
      <x:c r="I5" s="1"/>
      <x:c r="J5" s="1"/>
      <x:c r="K5" s="1"/>
    </x:row>
    <x:row r="6" ht="15" hidden="0" customHeight="1">
      <x:c r="A6" s="18" t="str">
        <x:v>Break-even revenue</x:v>
      </x:c>
      <x:c r="B6" s="19" t="n">
        <x:f>Inputs!B10</x:f>
        <x:v>193548.38709677418</x:v>
      </x:c>
      <x:c r="C6" s="15"/>
      <x:c r="D6" s="15"/>
      <x:c r="E6" s="15"/>
      <x:c r="F6" s="15"/>
      <x:c r="G6" s="1"/>
      <x:c r="H6" s="1"/>
      <x:c r="I6" s="1"/>
      <x:c r="J6" s="1"/>
      <x:c r="K6" s="1"/>
    </x:row>
    <x:row r="7" ht="15" hidden="0" customHeight="1">
      <x:c r="A7" s="18" t="str">
        <x:v>Break-even transactions</x:v>
      </x:c>
      <x:c r="B7" s="19" t="n">
        <x:f>Inputs!B10/Inputs!B7</x:f>
        <x:v>3519.0615835777126</x:v>
      </x:c>
      <x:c r="C7" s="15"/>
      <x:c r="D7" s="15"/>
      <x:c r="E7" s="15"/>
      <x:c r="F7" s="15"/>
      <x:c r="G7" s="1"/>
      <x:c r="H7" s="1"/>
      <x:c r="I7" s="1"/>
      <x:c r="J7" s="1"/>
      <x:c r="K7" s="1"/>
    </x:row>
    <x:row r="8" ht="15" hidden="0" customHeight="1">
      <x:c r="A8" s="15"/>
      <x:c r="B8" s="15"/>
      <x:c r="C8" s="15"/>
      <x:c r="D8" s="15"/>
      <x:c r="E8" s="15"/>
      <x:c r="F8" s="15"/>
      <x:c r="G8" s="1"/>
      <x:c r="H8" s="1"/>
      <x:c r="I8" s="1"/>
      <x:c r="J8" s="1"/>
      <x:c r="K8" s="1"/>
    </x:row>
    <x:row r="9" ht="15" hidden="0" customHeight="1">
      <x:c r="A9" s="15"/>
      <x:c r="B9" s="15"/>
      <x:c r="C9" s="15"/>
      <x:c r="D9" s="15"/>
      <x:c r="E9" s="15"/>
      <x:c r="F9" s="15"/>
      <x:c r="G9" s="1"/>
      <x:c r="H9" s="1"/>
      <x:c r="I9" s="1"/>
      <x:c r="J9" s="1"/>
      <x:c r="K9" s="1"/>
    </x:row>
    <x:row r="10" ht="15" hidden="0" customHeight="1">
      <x:c r="A10" s="15"/>
      <x:c r="B10" s="15"/>
      <x:c r="C10" s="15"/>
      <x:c r="D10" s="15"/>
      <x:c r="E10" s="15"/>
      <x:c r="F10" s="15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bb071b35f2454a04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5"/>
      <x:c r="B1" s="15"/>
      <x:c r="C1" s="15"/>
      <x:c r="D1" s="15"/>
      <x:c r="E1" s="15"/>
      <x:c r="F1" s="15"/>
      <x:c r="G1" s="15"/>
      <x:c r="H1" s="15"/>
      <x:c r="I1" s="1"/>
      <x:c r="J1" s="1"/>
      <x:c r="K1" s="1"/>
    </x:row>
    <x:row r="2" ht="19.200000762939453" hidden="0" customHeight="1">
      <x:c r="A2" s="16" t="str">
        <x:v>Noriva Break-Even Analysis</x:v>
      </x:c>
      <x:c r="B2" s="15"/>
      <x:c r="C2" s="15"/>
      <x:c r="D2" s="15"/>
      <x:c r="E2" s="15"/>
      <x:c r="F2" s="15"/>
      <x:c r="G2" s="15"/>
      <x:c r="H2" s="15"/>
      <x:c r="I2" s="1"/>
      <x:c r="J2" s="1"/>
      <x:c r="K2" s="1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"/>
      <x:c r="J3" s="1"/>
      <x:c r="K3" s="1"/>
    </x:row>
    <x:row r="4" ht="15" hidden="0" customHeight="1">
      <x:c r="A4" s="15"/>
      <x:c r="B4" s="15"/>
      <x:c r="C4" s="15"/>
      <x:c r="D4" s="15"/>
      <x:c r="E4" s="15"/>
      <x:c r="F4" s="15"/>
      <x:c r="G4" s="15"/>
      <x:c r="H4" s="15"/>
      <x:c r="I4" s="1"/>
      <x:c r="J4" s="1"/>
      <x:c r="K4" s="1"/>
    </x:row>
    <x:row r="5" ht="15" hidden="0" customHeight="1">
      <x:c r="A5" s="25" t="str">
        <x:v>How to use this workbook</x:v>
      </x:c>
      <x:c r="B5" s="25"/>
      <x:c r="C5" s="25"/>
      <x:c r="D5" s="25"/>
      <x:c r="E5" s="25"/>
      <x:c r="F5" s="25"/>
      <x:c r="G5" s="25"/>
      <x:c r="H5" s="25"/>
      <x:c r="I5" s="1"/>
      <x:c r="J5" s="1"/>
      <x:c r="K5" s="1"/>
    </x:row>
    <x:row r="6" ht="15" hidden="0" customHeight="1">
      <x:c r="A6" s="15"/>
      <x:c r="B6" s="15"/>
      <x:c r="C6" s="15"/>
      <x:c r="D6" s="15"/>
      <x:c r="E6" s="15"/>
      <x:c r="F6" s="15"/>
      <x:c r="G6" s="15"/>
      <x:c r="H6" s="15"/>
      <x:c r="I6" s="1"/>
      <x:c r="J6" s="1"/>
      <x:c r="K6" s="1"/>
    </x:row>
    <x:row r="7" ht="15" hidden="0" customHeight="1">
      <x:c r="A7" s="26" t="n">
        <x:v>1</x:v>
      </x:c>
      <x:c r="B7" s="27" t="str">
        <x:v>Replace the sample fixed and variable costs with your own assumptions.</x:v>
      </x:c>
      <x:c r="C7" s="15"/>
      <x:c r="D7" s="15"/>
      <x:c r="E7" s="15"/>
      <x:c r="F7" s="15"/>
      <x:c r="G7" s="15"/>
      <x:c r="H7" s="15"/>
      <x:c r="I7" s="1"/>
      <x:c r="J7" s="1"/>
      <x:c r="K7" s="1"/>
    </x:row>
    <x:row r="8" ht="15" hidden="0" customHeight="1">
      <x:c r="A8" s="26" t="n">
        <x:v>2</x:v>
      </x:c>
      <x:c r="B8" s="27" t="str">
        <x:v>Keep variable costs separate from fixed costs.</x:v>
      </x:c>
      <x:c r="C8" s="15"/>
      <x:c r="D8" s="15"/>
      <x:c r="E8" s="15"/>
      <x:c r="F8" s="15"/>
      <x:c r="G8" s="15"/>
      <x:c r="H8" s="15"/>
      <x:c r="I8" s="1"/>
      <x:c r="J8" s="1"/>
      <x:c r="K8" s="1"/>
    </x:row>
    <x:row r="9" ht="15" hidden="0" customHeight="1">
      <x:c r="A9" s="26" t="n">
        <x:v>3</x:v>
      </x:c>
      <x:c r="B9" s="27" t="str">
        <x:v>Use the result as a planning threshold, then test downside assumptions.</x:v>
      </x:c>
      <x:c r="C9" s="15"/>
      <x:c r="D9" s="15"/>
      <x:c r="E9" s="15"/>
      <x:c r="F9" s="15"/>
      <x:c r="G9" s="15"/>
      <x:c r="H9" s="15"/>
      <x:c r="I9" s="1"/>
      <x:c r="J9" s="1"/>
      <x:c r="K9" s="1"/>
    </x:row>
    <x:row r="10" ht="15" hidden="0" customHeight="1">
      <x:c r="A10" s="15"/>
      <x:c r="B10" s="15"/>
      <x:c r="C10" s="15"/>
      <x:c r="D10" s="15"/>
      <x:c r="E10" s="15"/>
      <x:c r="F10" s="15"/>
      <x:c r="G10" s="15"/>
      <x:c r="H10" s="15"/>
      <x:c r="I10" s="1"/>
      <x:c r="J10" s="1"/>
      <x:c r="K10" s="1"/>
    </x:row>
    <x:row r="11" ht="15" hidden="0" customHeight="1">
      <x:c r="A11" s="15"/>
      <x:c r="B11" s="15"/>
      <x:c r="C11" s="15"/>
      <x:c r="D11" s="15"/>
      <x:c r="E11" s="15"/>
      <x:c r="F11" s="15"/>
      <x:c r="G11" s="15"/>
      <x:c r="H11" s="15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79a4b16da93d4058"/>
</x:worksheet>
</file>