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A2" s="1" t="inlineStr">
        <is>
          <t>Noriva Cash Flow Forecast</t>
        </is>
      </c>
    </row>
    <row r="5">
      <c r="A5" s="2" t="inlineStr">
        <is>
          <t>Month</t>
        </is>
      </c>
      <c r="B5" s="2" t="inlineStr">
        <is>
          <t>Opening cash</t>
        </is>
      </c>
      <c r="C5" s="2" t="inlineStr">
        <is>
          <t>Receipts</t>
        </is>
      </c>
      <c r="D5" s="2" t="inlineStr">
        <is>
          <t>Payments</t>
        </is>
      </c>
      <c r="E5" s="2" t="inlineStr">
        <is>
          <t>Net movement</t>
        </is>
      </c>
      <c r="F5" s="2" t="inlineStr">
        <is>
          <t>Closing cash</t>
        </is>
      </c>
    </row>
    <row r="6">
      <c r="A6" s="3" t="inlineStr">
        <is>
          <t>Month 1</t>
        </is>
      </c>
      <c r="B6" s="4" t="n"/>
      <c r="C6" s="4" t="n"/>
      <c r="D6" s="4" t="n"/>
      <c r="E6" s="4">
        <f>IFERROR(C6-D6,"")</f>
        <v/>
      </c>
      <c r="F6" s="4">
        <f>IFERROR(B6+E6,"")</f>
        <v/>
      </c>
    </row>
    <row r="7">
      <c r="A7" s="3" t="inlineStr">
        <is>
          <t>Month 2</t>
        </is>
      </c>
      <c r="B7" s="4" t="n"/>
      <c r="C7" s="4" t="n"/>
      <c r="D7" s="4" t="n"/>
      <c r="E7" s="4">
        <f>IFERROR(C7-D7,"")</f>
        <v/>
      </c>
      <c r="F7" s="4">
        <f>IFERROR(B7+E7,"")</f>
        <v/>
      </c>
    </row>
    <row r="8">
      <c r="A8" s="3" t="inlineStr">
        <is>
          <t>Month 3</t>
        </is>
      </c>
      <c r="B8" s="4" t="n"/>
      <c r="C8" s="4" t="n"/>
      <c r="D8" s="4" t="n"/>
      <c r="E8" s="4">
        <f>IFERROR(C8-D8,"")</f>
        <v/>
      </c>
      <c r="F8" s="4">
        <f>IFERROR(B8+E8,"")</f>
        <v/>
      </c>
    </row>
    <row r="9">
      <c r="A9" s="3" t="n"/>
      <c r="B9" s="4" t="n"/>
      <c r="C9" s="4" t="n"/>
      <c r="D9" s="4" t="n"/>
      <c r="E9" s="4">
        <f>IFERROR(C9-D9,"")</f>
        <v/>
      </c>
      <c r="F9" s="4">
        <f>IFERROR(B9+E9,"")</f>
        <v/>
      </c>
    </row>
    <row r="10">
      <c r="A10" s="3" t="n"/>
      <c r="B10" s="4" t="n"/>
      <c r="C10" s="4" t="n"/>
      <c r="D10" s="4" t="n"/>
      <c r="E10" s="4">
        <f>IFERROR(C10-D10,"")</f>
        <v/>
      </c>
      <c r="F10" s="4">
        <f>IFERROR(B10+E10,"")</f>
        <v/>
      </c>
    </row>
    <row r="11">
      <c r="A11" s="3" t="n"/>
      <c r="B11" s="4" t="n"/>
      <c r="C11" s="4" t="n"/>
      <c r="D11" s="4" t="n"/>
      <c r="E11" s="4">
        <f>IFERROR(C11-D11,"")</f>
        <v/>
      </c>
      <c r="F11" s="4">
        <f>IFERROR(B11+E11,"")</f>
        <v/>
      </c>
    </row>
    <row r="12">
      <c r="A12" s="3" t="n"/>
      <c r="B12" s="4" t="n"/>
      <c r="C12" s="4" t="n"/>
      <c r="D12" s="4" t="n"/>
      <c r="E12" s="4">
        <f>IFERROR(C12-D12,"")</f>
        <v/>
      </c>
      <c r="F12" s="4">
        <f>IFERROR(B12+E12,"")</f>
        <v/>
      </c>
    </row>
    <row r="13">
      <c r="A13" s="3" t="n"/>
      <c r="B13" s="4" t="n"/>
      <c r="C13" s="4" t="n"/>
      <c r="D13" s="4" t="n"/>
      <c r="E13" s="4">
        <f>IFERROR(C13-D13,"")</f>
        <v/>
      </c>
      <c r="F13" s="4">
        <f>IFERROR(B13+E13,"")</f>
        <v/>
      </c>
    </row>
    <row r="14">
      <c r="A14" s="3" t="n"/>
      <c r="B14" s="4" t="n"/>
      <c r="C14" s="4" t="n"/>
      <c r="D14" s="4" t="n"/>
      <c r="E14" s="4">
        <f>IFERROR(C14-D14,"")</f>
        <v/>
      </c>
      <c r="F14" s="4">
        <f>IFERROR(B14+E14,"")</f>
        <v/>
      </c>
    </row>
    <row r="15">
      <c r="A15" s="3" t="n"/>
      <c r="B15" s="4" t="n"/>
      <c r="C15" s="4" t="n"/>
      <c r="D15" s="4" t="n"/>
      <c r="E15" s="4">
        <f>IFERROR(C15-D15,"")</f>
        <v/>
      </c>
      <c r="F15" s="4">
        <f>IFERROR(B15+E15,"")</f>
        <v/>
      </c>
    </row>
    <row r="16">
      <c r="A16" s="3" t="n"/>
      <c r="B16" s="4" t="n"/>
      <c r="C16" s="4" t="n"/>
      <c r="D16" s="4" t="n"/>
      <c r="E16" s="4">
        <f>IFERROR(C16-D16,"")</f>
        <v/>
      </c>
      <c r="F16" s="4">
        <f>IFERROR(B16+E16,"")</f>
        <v/>
      </c>
    </row>
    <row r="17">
      <c r="A17" s="3" t="n"/>
      <c r="B17" s="4" t="n"/>
      <c r="C17" s="4" t="n"/>
      <c r="D17" s="4" t="n"/>
      <c r="E17" s="4">
        <f>IFERROR(C17-D17,"")</f>
        <v/>
      </c>
      <c r="F17" s="4">
        <f>IFERROR(B17+E17,"")</f>
        <v/>
      </c>
    </row>
    <row r="18">
      <c r="A18" s="3" t="n"/>
      <c r="B18" s="4" t="n"/>
      <c r="C18" s="4" t="n"/>
      <c r="D18" s="4" t="n"/>
      <c r="E18" s="4">
        <f>IFERROR(C18-D18,"")</f>
        <v/>
      </c>
      <c r="F18" s="4">
        <f>IFERROR(B18+E18,"")</f>
        <v/>
      </c>
    </row>
    <row r="19">
      <c r="A19" s="3" t="n"/>
      <c r="B19" s="4" t="n"/>
      <c r="C19" s="4" t="n"/>
      <c r="D19" s="4" t="n"/>
      <c r="E19" s="4">
        <f>IFERROR(C19-D19,"")</f>
        <v/>
      </c>
      <c r="F19" s="4">
        <f>IFERROR(B19+E19,"")</f>
        <v/>
      </c>
    </row>
    <row r="20">
      <c r="A20" s="3" t="n"/>
      <c r="B20" s="4" t="n"/>
      <c r="C20" s="4" t="n"/>
      <c r="D20" s="4" t="n"/>
      <c r="E20" s="4">
        <f>IFERROR(C20-D20,"")</f>
        <v/>
      </c>
      <c r="F20" s="4">
        <f>IFERROR(B20+E20,"")</f>
        <v/>
      </c>
    </row>
    <row r="21">
      <c r="A21" s="3" t="n"/>
      <c r="B21" s="4" t="n"/>
      <c r="C21" s="4" t="n"/>
      <c r="D21" s="4" t="n"/>
      <c r="E21" s="4">
        <f>IFERROR(C21-D21,"")</f>
        <v/>
      </c>
      <c r="F21" s="4">
        <f>IFERROR(B21+E21,"")</f>
        <v/>
      </c>
    </row>
    <row r="22">
      <c r="A22" s="3" t="n"/>
      <c r="B22" s="4" t="n"/>
      <c r="C22" s="4" t="n"/>
      <c r="D22" s="4" t="n"/>
      <c r="E22" s="4">
        <f>IFERROR(C22-D22,"")</f>
        <v/>
      </c>
      <c r="F22" s="4">
        <f>IFERROR(B22+E22,"")</f>
        <v/>
      </c>
    </row>
    <row r="23">
      <c r="A23" s="3" t="n"/>
      <c r="B23" s="4" t="n"/>
      <c r="C23" s="4" t="n"/>
      <c r="D23" s="4" t="n"/>
      <c r="E23" s="4">
        <f>IFERROR(C23-D23,"")</f>
        <v/>
      </c>
      <c r="F23" s="4">
        <f>IFERROR(B23+E23,"")</f>
        <v/>
      </c>
    </row>
    <row r="24">
      <c r="A24" s="3" t="n"/>
      <c r="B24" s="4" t="n"/>
      <c r="C24" s="4" t="n"/>
      <c r="D24" s="4" t="n"/>
      <c r="E24" s="4">
        <f>IFERROR(C24-D24,"")</f>
        <v/>
      </c>
      <c r="F24" s="4">
        <f>IFERROR(B24+E24,"")</f>
        <v/>
      </c>
    </row>
    <row r="25">
      <c r="A25" s="3" t="n"/>
      <c r="B25" s="4" t="n"/>
      <c r="C25" s="4" t="n"/>
      <c r="D25" s="4" t="n"/>
      <c r="E25" s="4">
        <f>IFERROR(C25-D25,"")</f>
        <v/>
      </c>
      <c r="F25" s="4">
        <f>IFERROR(B25+E25,"")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2">
      <c r="A2" s="1" t="inlineStr">
        <is>
          <t>Noriva Cash Flow Forecast</t>
        </is>
      </c>
    </row>
    <row r="5">
      <c r="A5" s="2" t="inlineStr">
        <is>
          <t>Driver</t>
        </is>
      </c>
      <c r="B5" s="2" t="inlineStr">
        <is>
          <t>Base</t>
        </is>
      </c>
      <c r="C5" s="2" t="inlineStr">
        <is>
          <t>Downside</t>
        </is>
      </c>
      <c r="D5" s="2" t="inlineStr">
        <is>
          <t>Active</t>
        </is>
      </c>
    </row>
    <row r="6">
      <c r="A6" s="3" t="inlineStr">
        <is>
          <t>Downside receipts factor</t>
        </is>
      </c>
      <c r="B6" s="4" t="n">
        <v>0.9</v>
      </c>
      <c r="C6" s="4" t="n"/>
      <c r="D6" s="4">
        <f>B6</f>
        <v/>
      </c>
    </row>
    <row r="7">
      <c r="A7" s="3" t="inlineStr">
        <is>
          <t>Supplier payment terms (days)</t>
        </is>
      </c>
      <c r="B7" s="4" t="n">
        <v>30</v>
      </c>
      <c r="C7" s="4" t="n"/>
      <c r="D7" s="4">
        <f>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Cash Flow Forecast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Months entered</t>
        </is>
      </c>
      <c r="B6" s="4">
        <f>COUNTA(Inputs!A6:A25)</f>
        <v/>
      </c>
    </row>
    <row r="7">
      <c r="A7" s="3" t="inlineStr">
        <is>
          <t>Total receipts</t>
        </is>
      </c>
      <c r="B7" s="4">
        <f>SUM(Inputs!C6:C25)</f>
        <v/>
      </c>
    </row>
    <row r="8">
      <c r="A8" s="3" t="inlineStr">
        <is>
          <t>Total payments</t>
        </is>
      </c>
      <c r="B8" s="4">
        <f>SUM(Inputs!D6:D25)</f>
        <v/>
      </c>
    </row>
    <row r="9">
      <c r="A9" s="3" t="inlineStr">
        <is>
          <t>Net movement</t>
        </is>
      </c>
      <c r="B9" s="4">
        <f>IFERROR(B7-B8,"")</f>
        <v/>
      </c>
    </row>
    <row r="10">
      <c r="A10" s="3" t="inlineStr">
        <is>
          <t>Lowest closing cash</t>
        </is>
      </c>
      <c r="B10" s="4">
        <f>IFERROR(MIN(Inputs!F6:F25),"")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Cash Flow Forecast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2026-09-09T05:48:07Z</dcterms:created>
  <dcterms:modified xmlns:dcterms="http://purl.org/dc/terms/" xmlns:xsi="http://www.w3.org/2001/XMLSchema-instance" xsi:type="dcterms:W3CDTF">2026-09-09T05:48:07Z</dcterms:modified>
</cp:coreProperties>
</file>