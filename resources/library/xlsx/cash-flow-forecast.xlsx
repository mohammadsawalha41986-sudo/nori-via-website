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842e0aec3744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f95af1472d3c4ed4"/>
    <x:sheet xmlns:r="http://schemas.openxmlformats.org/officeDocument/2006/relationships" name="Assumptions" sheetId="2" r:id="R52faa90aff234d85"/>
    <x:sheet xmlns:r="http://schemas.openxmlformats.org/officeDocument/2006/relationships" name="Summary" sheetId="3" r:id="R50d4df2e5d98477a"/>
    <x:sheet xmlns:r="http://schemas.openxmlformats.org/officeDocument/2006/relationships" name="Instructions" sheetId="4" r:id="R5ffdc3ae28b043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  <x:family val="2"/>
      <x:scheme val="minor"/>
    </x:font>
    <x:font>
      <x:b/>
      <x:sz val="12"/>
      <x:color rgb="FF17324D"/>
    </x:font>
    <x:font>
      <x:b/>
      <x:sz val="10"/>
      <x:color rgb="FFFFFFFF"/>
    </x:font>
    <x:font>
      <x:sz val="10"/>
      <x:color rgb="FF1F2933"/>
    </x:font>
    <x:font>
      <x:sz val="10"/>
      <x:color rgb="FF0070C0"/>
    </x:font>
    <x:font>
      <x:b/>
      <x:sz val="10"/>
      <x:color rgb="FF17324D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/>
    <x:xf numFmtId="0" fontId="2" fillId="2" borderId="0" xfId="0" applyAlignment="1">
      <x:alignment vertical="center" wrapText="1"/>
    </x:xf>
    <x:xf numFmtId="0" fontId="3" fillId="0" borderId="0" xfId="0"/>
    <x:xf numFmtId="0" fontId="4" fillId="0" borderId="0" xfId="0"/>
    <x:xf numFmtId="0" fontId="5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fecd1e41c34bfd" /><Relationship Type="http://schemas.openxmlformats.org/officeDocument/2006/relationships/theme" Target="/xl/theme/theme1.xml" Id="R85538d6a337b4ad6" /><Relationship Type="http://schemas.openxmlformats.org/officeDocument/2006/relationships/sharedStrings" Target="/xl/sharedStrings.xml" Id="Rb6245db6edef4934" /><Relationship Type="http://schemas.openxmlformats.org/officeDocument/2006/relationships/worksheet" Target="/xl/worksheets/sheet1.xml" Id="Rf95af1472d3c4ed4" /><Relationship Type="http://schemas.openxmlformats.org/officeDocument/2006/relationships/worksheet" Target="/xl/worksheets/sheet2.xml" Id="R52faa90aff234d85" /><Relationship Type="http://schemas.openxmlformats.org/officeDocument/2006/relationships/worksheet" Target="/xl/worksheets/sheet3.xml" Id="R50d4df2e5d98477a" /><Relationship Type="http://schemas.openxmlformats.org/officeDocument/2006/relationships/worksheet" Target="/xl/worksheets/sheet4.xml" Id="R5ffdc3ae28b0437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c424e2a36f13488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.jpg" Id="R6dfafe8396ef4ef4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.jpg" Id="R8ea0de56c8ab4e3d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.jpg" Id="R672404b6988b41f4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b58b3cc4-7d86-421a-8e71-09c84390841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24e2a36f13488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9ac8d5f7-c79a-4fbc-adc4-c8f52980049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fafe8396ef4ef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0f7c7e82-e3f1-4534-a4e2-a557e4dcffe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a0de56c8ab4e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1657350" cy="552450"/>
    <xdr:pic>
      <xdr:nvPicPr>
        <xdr:cNvPr id="1" name="b3bcced3-803f-4c15-941b-3f977f1af48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72404b6988b41f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6f5de4f032a476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49e7d4552cf84e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64bc061f338d4b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6ae767c277684d52" /></Relationships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baseColWidth="8" defaultRowHeight="15"/>
  <x:cols>
    <x:col min="1" max="1" width="22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</x:cols>
  <x:sheetData>
    <x:row r="1" ht="48" customHeight="1"/>
    <x:row r="2">
      <x:c r="A2" s="1" t="inlineStr">
        <x:is>
          <x:t xml:space="preserve">Noriva Cash Flow Forecast</x:t>
        </x:is>
      </x:c>
    </x:row>
    <x:row r="5">
      <x:c r="A5" s="2" t="inlineStr">
        <x:is>
          <x:t xml:space="preserve">Month</x:t>
        </x:is>
      </x:c>
      <x:c r="B5" s="2" t="inlineStr">
        <x:is>
          <x:t xml:space="preserve">Opening cash</x:t>
        </x:is>
      </x:c>
      <x:c r="C5" s="2" t="inlineStr">
        <x:is>
          <x:t xml:space="preserve">Receipts</x:t>
        </x:is>
      </x:c>
      <x:c r="D5" s="2" t="inlineStr">
        <x:is>
          <x:t xml:space="preserve">Payments</x:t>
        </x:is>
      </x:c>
      <x:c r="E5" s="2" t="inlineStr">
        <x:is>
          <x:t xml:space="preserve">Net movement</x:t>
        </x:is>
      </x:c>
      <x:c r="F5" s="2" t="inlineStr">
        <x:is>
          <x:t xml:space="preserve">Closing cash</x:t>
        </x:is>
      </x:c>
    </x:row>
    <x:row r="6">
      <x:c r="A6" s="3" t="inlineStr">
        <x:is>
          <x:t xml:space="preserve">Month 1</x:t>
        </x:is>
      </x:c>
      <x:c r="B6" s="4" t="n"/>
      <x:c r="C6" s="4" t="n"/>
      <x:c r="D6" s="4" t="n"/>
      <x:c r="E6" s="4" t="n">
        <x:f>IFERROR(C6-D6,"")</x:f>
        <x:v>0</x:v>
      </x:c>
      <x:c r="F6" s="4" t="n">
        <x:f>IFERROR(B6+E6,"")</x:f>
        <x:v>0</x:v>
      </x:c>
    </x:row>
    <x:row r="7">
      <x:c r="A7" s="3" t="inlineStr">
        <x:is>
          <x:t xml:space="preserve">Month 2</x:t>
        </x:is>
      </x:c>
      <x:c r="B7" s="4" t="n"/>
      <x:c r="C7" s="4" t="n"/>
      <x:c r="D7" s="4" t="n"/>
      <x:c r="E7" s="4" t="n">
        <x:f>IFERROR(C7-D7,"")</x:f>
        <x:v>0</x:v>
      </x:c>
      <x:c r="F7" s="4" t="n">
        <x:f>IFERROR(B7+E7,"")</x:f>
        <x:v>0</x:v>
      </x:c>
    </x:row>
    <x:row r="8">
      <x:c r="A8" s="3" t="inlineStr">
        <x:is>
          <x:t xml:space="preserve">Month 3</x:t>
        </x:is>
      </x:c>
      <x:c r="B8" s="4" t="n"/>
      <x:c r="C8" s="4" t="n"/>
      <x:c r="D8" s="4" t="n"/>
      <x:c r="E8" s="4" t="n">
        <x:f>IFERROR(C8-D8,"")</x:f>
        <x:v>0</x:v>
      </x:c>
      <x:c r="F8" s="4" t="n">
        <x:f>IFERROR(B8+E8,"")</x:f>
        <x:v>0</x:v>
      </x:c>
    </x:row>
    <x:row r="9">
      <x:c r="A9" s="3" t="n"/>
      <x:c r="B9" s="4" t="n"/>
      <x:c r="C9" s="4" t="n"/>
      <x:c r="D9" s="4" t="n"/>
      <x:c r="E9" s="4" t="n">
        <x:f>IFERROR(C9-D9,"")</x:f>
        <x:v>0</x:v>
      </x:c>
      <x:c r="F9" s="4" t="n">
        <x:f>IFERROR(B9+E9,"")</x:f>
        <x:v>0</x:v>
      </x:c>
    </x:row>
    <x:row r="10">
      <x:c r="A10" s="3" t="n"/>
      <x:c r="B10" s="4" t="n"/>
      <x:c r="C10" s="4" t="n"/>
      <x:c r="D10" s="4" t="n"/>
      <x:c r="E10" s="4" t="n">
        <x:f>IFERROR(C10-D10,"")</x:f>
        <x:v>0</x:v>
      </x:c>
      <x:c r="F10" s="4" t="n">
        <x:f>IFERROR(B10+E10,"")</x:f>
        <x:v>0</x:v>
      </x:c>
    </x:row>
    <x:row r="11">
      <x:c r="A11" s="3" t="n"/>
      <x:c r="B11" s="4" t="n"/>
      <x:c r="C11" s="4" t="n"/>
      <x:c r="D11" s="4" t="n"/>
      <x:c r="E11" s="4" t="n">
        <x:f>IFERROR(C11-D11,"")</x:f>
        <x:v>0</x:v>
      </x:c>
      <x:c r="F11" s="4" t="n">
        <x:f>IFERROR(B11+E11,"")</x:f>
        <x:v>0</x:v>
      </x:c>
    </x:row>
    <x:row r="12">
      <x:c r="A12" s="3" t="n"/>
      <x:c r="B12" s="4" t="n"/>
      <x:c r="C12" s="4" t="n"/>
      <x:c r="D12" s="4" t="n"/>
      <x:c r="E12" s="4" t="n">
        <x:f>IFERROR(C12-D12,"")</x:f>
        <x:v>0</x:v>
      </x:c>
      <x:c r="F12" s="4" t="n">
        <x:f>IFERROR(B12+E12,"")</x:f>
        <x:v>0</x:v>
      </x:c>
    </x:row>
    <x:row r="13">
      <x:c r="A13" s="3" t="n"/>
      <x:c r="B13" s="4" t="n"/>
      <x:c r="C13" s="4" t="n"/>
      <x:c r="D13" s="4" t="n"/>
      <x:c r="E13" s="4" t="n">
        <x:f>IFERROR(C13-D13,"")</x:f>
        <x:v>0</x:v>
      </x:c>
      <x:c r="F13" s="4" t="n">
        <x:f>IFERROR(B13+E13,"")</x:f>
        <x:v>0</x:v>
      </x:c>
    </x:row>
    <x:row r="14">
      <x:c r="A14" s="3" t="n"/>
      <x:c r="B14" s="4" t="n"/>
      <x:c r="C14" s="4" t="n"/>
      <x:c r="D14" s="4" t="n"/>
      <x:c r="E14" s="4" t="n">
        <x:f>IFERROR(C14-D14,"")</x:f>
        <x:v>0</x:v>
      </x:c>
      <x:c r="F14" s="4" t="n">
        <x:f>IFERROR(B14+E14,"")</x:f>
        <x:v>0</x:v>
      </x:c>
    </x:row>
    <x:row r="15">
      <x:c r="A15" s="3" t="n"/>
      <x:c r="B15" s="4" t="n"/>
      <x:c r="C15" s="4" t="n"/>
      <x:c r="D15" s="4" t="n"/>
      <x:c r="E15" s="4" t="n">
        <x:f>IFERROR(C15-D15,"")</x:f>
        <x:v>0</x:v>
      </x:c>
      <x:c r="F15" s="4" t="n">
        <x:f>IFERROR(B15+E15,"")</x:f>
        <x:v>0</x:v>
      </x:c>
    </x:row>
    <x:row r="16">
      <x:c r="A16" s="3" t="n"/>
      <x:c r="B16" s="4" t="n"/>
      <x:c r="C16" s="4" t="n"/>
      <x:c r="D16" s="4" t="n"/>
      <x:c r="E16" s="4" t="n">
        <x:f>IFERROR(C16-D16,"")</x:f>
        <x:v>0</x:v>
      </x:c>
      <x:c r="F16" s="4" t="n">
        <x:f>IFERROR(B16+E16,"")</x:f>
        <x:v>0</x:v>
      </x:c>
    </x:row>
    <x:row r="17">
      <x:c r="A17" s="3" t="n"/>
      <x:c r="B17" s="4" t="n"/>
      <x:c r="C17" s="4" t="n"/>
      <x:c r="D17" s="4" t="n"/>
      <x:c r="E17" s="4" t="n">
        <x:f>IFERROR(C17-D17,"")</x:f>
        <x:v>0</x:v>
      </x:c>
      <x:c r="F17" s="4" t="n">
        <x:f>IFERROR(B17+E17,"")</x:f>
        <x:v>0</x:v>
      </x:c>
    </x:row>
    <x:row r="18">
      <x:c r="A18" s="3" t="n"/>
      <x:c r="B18" s="4" t="n"/>
      <x:c r="C18" s="4" t="n"/>
      <x:c r="D18" s="4" t="n"/>
      <x:c r="E18" s="4" t="n">
        <x:f>IFERROR(C18-D18,"")</x:f>
        <x:v>0</x:v>
      </x:c>
      <x:c r="F18" s="4" t="n">
        <x:f>IFERROR(B18+E18,"")</x:f>
        <x:v>0</x:v>
      </x:c>
    </x:row>
    <x:row r="19">
      <x:c r="A19" s="3" t="n"/>
      <x:c r="B19" s="4" t="n"/>
      <x:c r="C19" s="4" t="n"/>
      <x:c r="D19" s="4" t="n"/>
      <x:c r="E19" s="4" t="n">
        <x:f>IFERROR(C19-D19,"")</x:f>
        <x:v>0</x:v>
      </x:c>
      <x:c r="F19" s="4" t="n">
        <x:f>IFERROR(B19+E19,"")</x:f>
        <x:v>0</x:v>
      </x:c>
    </x:row>
    <x:row r="20">
      <x:c r="A20" s="3" t="n"/>
      <x:c r="B20" s="4" t="n"/>
      <x:c r="C20" s="4" t="n"/>
      <x:c r="D20" s="4" t="n"/>
      <x:c r="E20" s="4" t="n">
        <x:f>IFERROR(C20-D20,"")</x:f>
        <x:v>0</x:v>
      </x:c>
      <x:c r="F20" s="4" t="n">
        <x:f>IFERROR(B20+E20,"")</x:f>
        <x:v>0</x:v>
      </x:c>
    </x:row>
    <x:row r="21">
      <x:c r="A21" s="3" t="n"/>
      <x:c r="B21" s="4" t="n"/>
      <x:c r="C21" s="4" t="n"/>
      <x:c r="D21" s="4" t="n"/>
      <x:c r="E21" s="4" t="n">
        <x:f>IFERROR(C21-D21,"")</x:f>
        <x:v>0</x:v>
      </x:c>
      <x:c r="F21" s="4" t="n">
        <x:f>IFERROR(B21+E21,"")</x:f>
        <x:v>0</x:v>
      </x:c>
    </x:row>
    <x:row r="22">
      <x:c r="A22" s="3" t="n"/>
      <x:c r="B22" s="4" t="n"/>
      <x:c r="C22" s="4" t="n"/>
      <x:c r="D22" s="4" t="n"/>
      <x:c r="E22" s="4" t="n">
        <x:f>IFERROR(C22-D22,"")</x:f>
        <x:v>0</x:v>
      </x:c>
      <x:c r="F22" s="4" t="n">
        <x:f>IFERROR(B22+E22,"")</x:f>
        <x:v>0</x:v>
      </x:c>
    </x:row>
    <x:row r="23">
      <x:c r="A23" s="3" t="n"/>
      <x:c r="B23" s="4" t="n"/>
      <x:c r="C23" s="4" t="n"/>
      <x:c r="D23" s="4" t="n"/>
      <x:c r="E23" s="4" t="n">
        <x:f>IFERROR(C23-D23,"")</x:f>
        <x:v>0</x:v>
      </x:c>
      <x:c r="F23" s="4" t="n">
        <x:f>IFERROR(B23+E23,"")</x:f>
        <x:v>0</x:v>
      </x:c>
    </x:row>
    <x:row r="24">
      <x:c r="A24" s="3" t="n"/>
      <x:c r="B24" s="4" t="n"/>
      <x:c r="C24" s="4" t="n"/>
      <x:c r="D24" s="4" t="n"/>
      <x:c r="E24" s="4" t="n">
        <x:f>IFERROR(C24-D24,"")</x:f>
        <x:v>0</x:v>
      </x:c>
      <x:c r="F24" s="4" t="n">
        <x:f>IFERROR(B24+E24,"")</x:f>
        <x:v>0</x:v>
      </x:c>
    </x:row>
    <x:row r="25">
      <x:c r="A25" s="3" t="n"/>
      <x:c r="B25" s="4" t="n"/>
      <x:c r="C25" s="4" t="n"/>
      <x:c r="D25" s="4" t="n"/>
      <x:c r="E25" s="4" t="n">
        <x:f>IFERROR(C25-D25,"")</x:f>
        <x:v>0</x:v>
      </x:c>
      <x:c r="F25" s="4" t="n">
        <x:f>IFERROR(B25+E25,"")</x:f>
        <x:v>0</x:v>
      </x:c>
    </x:row>
  </x:sheetData>
  <x:pageMargins left="0.7" right="0.7" top="0.75" bottom="0.75" header="0.3" footer="0.3"/>
  <x:drawing xmlns:r="http://schemas.openxmlformats.org/officeDocument/2006/relationships" r:id="R26f5de4f032a4764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18" customWidth="1"/>
    <x:col min="3" max="3" width="18" customWidth="1"/>
    <x:col min="4" max="4" width="18" customWidth="1"/>
  </x:cols>
  <x:sheetData>
    <x:row r="1" ht="48" customHeight="1"/>
    <x:row r="2">
      <x:c r="A2" s="1" t="inlineStr">
        <x:is>
          <x:t xml:space="preserve">Noriva Cash Flow Forecast</x:t>
        </x:is>
      </x:c>
    </x:row>
    <x:row r="5">
      <x:c r="A5" s="2" t="inlineStr">
        <x:is>
          <x:t xml:space="preserve">Driver</x:t>
        </x:is>
      </x:c>
      <x:c r="B5" s="2" t="inlineStr">
        <x:is>
          <x:t xml:space="preserve">Base</x:t>
        </x:is>
      </x:c>
      <x:c r="C5" s="2" t="inlineStr">
        <x:is>
          <x:t xml:space="preserve">Downside</x:t>
        </x:is>
      </x:c>
      <x:c r="D5" s="2" t="inlineStr">
        <x:is>
          <x:t xml:space="preserve">Active</x:t>
        </x:is>
      </x:c>
    </x:row>
    <x:row r="6">
      <x:c r="A6" s="3" t="inlineStr">
        <x:is>
          <x:t xml:space="preserve">Downside receipts factor</x:t>
        </x:is>
      </x:c>
      <x:c r="B6" s="4" t="n">
        <x:v>0.9</x:v>
      </x:c>
      <x:c r="C6" s="4" t="n"/>
      <x:c r="D6" s="4" t="n">
        <x:f>B6</x:f>
        <x:v>0.9</x:v>
      </x:c>
    </x:row>
    <x:row r="7">
      <x:c r="A7" s="3" t="inlineStr">
        <x:is>
          <x:t xml:space="preserve">Supplier payment terms (days)</x:t>
        </x:is>
      </x:c>
      <x:c r="B7" s="4" t="n">
        <x:v>30</x:v>
      </x:c>
      <x:c r="C7" s="4" t="n"/>
      <x:c r="D7" s="4" t="n">
        <x:f>B7</x:f>
        <x:v>30</x:v>
      </x:c>
    </x:row>
  </x:sheetData>
  <x:pageMargins left="0.7" right="0.7" top="0.75" bottom="0.75" header="0.3" footer="0.3"/>
  <x:drawing xmlns:r="http://schemas.openxmlformats.org/officeDocument/2006/relationships" r:id="R49e7d4552cf84ee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18" customWidth="1"/>
  </x:cols>
  <x:sheetData>
    <x:row r="1" ht="48" customHeight="1"/>
    <x:row r="2">
      <x:c r="A2" s="1" t="inlineStr">
        <x:is>
          <x:t xml:space="preserve">Noriva Cash Flow Forecast</x:t>
        </x:is>
      </x:c>
    </x:row>
    <x:row r="5">
      <x:c r="A5" s="2" t="inlineStr">
        <x:is>
          <x:t xml:space="preserve">Metric</x:t>
        </x:is>
      </x:c>
      <x:c r="B5" s="2" t="inlineStr">
        <x:is>
          <x:t xml:space="preserve">Result</x:t>
        </x:is>
      </x:c>
    </x:row>
    <x:row r="6">
      <x:c r="A6" s="3" t="inlineStr">
        <x:is>
          <x:t xml:space="preserve">Months entered</x:t>
        </x:is>
      </x:c>
      <x:c r="B6" s="4" t="n">
        <x:f>COUNTA(Inputs!A6:A25)</x:f>
        <x:v>3</x:v>
      </x:c>
    </x:row>
    <x:row r="7">
      <x:c r="A7" s="3" t="inlineStr">
        <x:is>
          <x:t xml:space="preserve">Total receipts</x:t>
        </x:is>
      </x:c>
      <x:c r="B7" s="4" t="n">
        <x:f>SUM(Inputs!C6:C25)</x:f>
        <x:v>0</x:v>
      </x:c>
    </x:row>
    <x:row r="8">
      <x:c r="A8" s="3" t="inlineStr">
        <x:is>
          <x:t xml:space="preserve">Total payments</x:t>
        </x:is>
      </x:c>
      <x:c r="B8" s="4" t="n">
        <x:f>SUM(Inputs!D6:D25)</x:f>
        <x:v>0</x:v>
      </x:c>
    </x:row>
    <x:row r="9">
      <x:c r="A9" s="3" t="inlineStr">
        <x:is>
          <x:t xml:space="preserve">Net movement</x:t>
        </x:is>
      </x:c>
      <x:c r="B9" s="4" t="n">
        <x:f>IFERROR(B7-B8,"")</x:f>
        <x:v>0</x:v>
      </x:c>
    </x:row>
    <x:row r="10">
      <x:c r="A10" s="3" t="inlineStr">
        <x:is>
          <x:t xml:space="preserve">Lowest closing cash</x:t>
        </x:is>
      </x:c>
      <x:c r="B10" s="4" t="n">
        <x:f>IFERROR(MIN(Inputs!F6:F25),"")</x:f>
        <x:v>0</x:v>
      </x:c>
    </x:row>
  </x:sheetData>
  <x:pageMargins left="0.7" right="0.7" top="0.75" bottom="0.75" header="0.3" footer="0.3"/>
  <x:drawing xmlns:r="http://schemas.openxmlformats.org/officeDocument/2006/relationships" r:id="R64bc061f338d4b12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96" customWidth="1"/>
  </x:cols>
  <x:sheetData>
    <x:row r="1" ht="48" customHeight="1"/>
    <x:row r="2">
      <x:c r="A2" s="1" t="inlineStr">
        <x:is>
          <x:t xml:space="preserve">Noriva Cash Flow Forecast</x:t>
        </x:is>
      </x:c>
    </x:row>
    <x:row r="4">
      <x:c r="A4" s="5" t="inlineStr">
        <x:is>
          <x:t xml:space="preserve">How to use this workbook</x:t>
        </x:is>
      </x:c>
    </x:row>
    <x:row r="6">
      <x:c r="A6" s="3" t="n">
        <x:v>1</x:v>
      </x:c>
      <x:c r="B6" s="3" t="inlineStr">
        <x:is>
          <x:t xml:space="preserve">Replace sample rows with your verified business data.</x:t>
        </x:is>
      </x:c>
    </x:row>
    <x:row r="7">
      <x:c r="A7" s="3" t="n">
        <x:v>2</x:v>
      </x:c>
      <x:c r="B7" s="3" t="inlineStr">
        <x:is>
          <x:t xml:space="preserve">Yellow and blue-font cells are intended for user inputs; calculated cells contain formulas.</x:t>
        </x:is>
      </x:c>
    </x:row>
    <x:row r="8">
      <x:c r="A8" s="3" t="n">
        <x:v>3</x:v>
      </x:c>
      <x:c r="B8" s="3" t="inlineStr">
        <x:is>
          <x:t xml:space="preserve">Review the Summary after completing the input table.</x:t>
        </x:is>
      </x:c>
    </x:row>
    <x:row r="9">
      <x:c r="A9" s="3" t="n">
        <x:v>4</x:v>
      </x:c>
      <x:c r="B9" s="3" t="inlineStr">
        <x:is>
          <x:t xml:space="preserve">Do not use sample values as market facts or investment advice.</x:t>
        </x:is>
      </x:c>
    </x:row>
  </x:sheetData>
  <x:pageMargins left="0.7" right="0.7" top="0.75" bottom="0.75" header="0.3" footer="0.3"/>
  <x:drawing xmlns:r="http://schemas.openxmlformats.org/officeDocument/2006/relationships" r:id="R6ae767c277684d52"/>
</x:worksheet>
</file>