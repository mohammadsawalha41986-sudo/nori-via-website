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7324D"/>
      <sz val="12"/>
    </font>
    <font>
      <b val="1"/>
      <color rgb="FFFFFFFF"/>
      <sz val="10"/>
    </font>
    <font>
      <color rgb="FF1F2933"/>
      <sz val="10"/>
    </font>
    <font>
      <color rgb="FF0070C0"/>
      <sz val="10"/>
    </font>
    <font>
      <b val="1"/>
      <color rgb="FF17324D"/>
      <sz val="10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>
      <c r="A2" s="1" t="inlineStr">
        <is>
          <t>Noriva Item Profitability Analysis</t>
        </is>
      </c>
    </row>
    <row r="5">
      <c r="A5" s="2" t="inlineStr">
        <is>
          <t>Menu item</t>
        </is>
      </c>
      <c r="B5" s="2" t="inlineStr">
        <is>
          <t>Selling price</t>
        </is>
      </c>
      <c r="C5" s="2" t="inlineStr">
        <is>
          <t>Food cost</t>
        </is>
      </c>
      <c r="D5" s="2" t="inlineStr">
        <is>
          <t>Packaging</t>
        </is>
      </c>
      <c r="E5" s="2" t="inlineStr">
        <is>
          <t>Channel commission %</t>
        </is>
      </c>
      <c r="F5" s="2" t="inlineStr">
        <is>
          <t>Units sold</t>
        </is>
      </c>
      <c r="G5" s="2" t="inlineStr">
        <is>
          <t>Gross profit</t>
        </is>
      </c>
      <c r="H5" s="2" t="inlineStr">
        <is>
          <t>Contribution per unit</t>
        </is>
      </c>
      <c r="I5" s="2" t="inlineStr">
        <is>
          <t>Total contribution</t>
        </is>
      </c>
      <c r="J5" s="2" t="inlineStr">
        <is>
          <t>Loss-making</t>
        </is>
      </c>
    </row>
    <row r="6">
      <c r="A6" s="3" t="inlineStr">
        <is>
          <t>Item A</t>
        </is>
      </c>
      <c r="B6" s="4" t="n"/>
      <c r="C6" s="4" t="n"/>
      <c r="D6" s="4" t="n"/>
      <c r="E6" s="4" t="n"/>
      <c r="F6" s="4" t="n"/>
      <c r="G6" s="4">
        <f>IFERROR(B6-C6,"")</f>
        <v/>
      </c>
      <c r="H6" s="4">
        <f>IFERROR(B6-C6-D6-(B6*E6),"")</f>
        <v/>
      </c>
      <c r="I6" s="4">
        <f>IFERROR(H6*F6,"")</f>
        <v/>
      </c>
      <c r="J6" s="4">
        <f>IF(H6="","",IF(H6&lt;0,"REVIEW",""))</f>
        <v/>
      </c>
    </row>
    <row r="7">
      <c r="A7" s="3" t="inlineStr">
        <is>
          <t>Item B</t>
        </is>
      </c>
      <c r="B7" s="4" t="n"/>
      <c r="C7" s="4" t="n"/>
      <c r="D7" s="4" t="n"/>
      <c r="E7" s="4" t="n"/>
      <c r="F7" s="4" t="n"/>
      <c r="G7" s="4">
        <f>IFERROR(B7-C7,"")</f>
        <v/>
      </c>
      <c r="H7" s="4">
        <f>IFERROR(B7-C7-D7-(B7*E7),"")</f>
        <v/>
      </c>
      <c r="I7" s="4">
        <f>IFERROR(H7*F7,"")</f>
        <v/>
      </c>
      <c r="J7" s="4">
        <f>IF(H7="","",IF(H7&lt;0,"REVIEW",""))</f>
        <v/>
      </c>
    </row>
    <row r="8">
      <c r="A8" s="3" t="inlineStr">
        <is>
          <t>Item C</t>
        </is>
      </c>
      <c r="B8" s="4" t="n"/>
      <c r="C8" s="4" t="n"/>
      <c r="D8" s="4" t="n"/>
      <c r="E8" s="4" t="n"/>
      <c r="F8" s="4" t="n"/>
      <c r="G8" s="4">
        <f>IFERROR(B8-C8,"")</f>
        <v/>
      </c>
      <c r="H8" s="4">
        <f>IFERROR(B8-C8-D8-(B8*E8),"")</f>
        <v/>
      </c>
      <c r="I8" s="4">
        <f>IFERROR(H8*F8,"")</f>
        <v/>
      </c>
      <c r="J8" s="4">
        <f>IF(H8="","",IF(H8&lt;0,"REVIEW",""))</f>
        <v/>
      </c>
    </row>
    <row r="9">
      <c r="A9" s="3" t="n"/>
      <c r="B9" s="4" t="n"/>
      <c r="C9" s="4" t="n"/>
      <c r="D9" s="4" t="n"/>
      <c r="E9" s="4" t="n"/>
      <c r="F9" s="4" t="n"/>
      <c r="G9" s="4">
        <f>IFERROR(B9-C9,"")</f>
        <v/>
      </c>
      <c r="H9" s="4">
        <f>IFERROR(B9-C9-D9-(B9*E9),"")</f>
        <v/>
      </c>
      <c r="I9" s="4">
        <f>IFERROR(H9*F9,"")</f>
        <v/>
      </c>
      <c r="J9" s="4">
        <f>IF(H9="","",IF(H9&lt;0,"REVIEW",""))</f>
        <v/>
      </c>
    </row>
    <row r="10">
      <c r="A10" s="3" t="n"/>
      <c r="B10" s="4" t="n"/>
      <c r="C10" s="4" t="n"/>
      <c r="D10" s="4" t="n"/>
      <c r="E10" s="4" t="n"/>
      <c r="F10" s="4" t="n"/>
      <c r="G10" s="4">
        <f>IFERROR(B10-C10,"")</f>
        <v/>
      </c>
      <c r="H10" s="4">
        <f>IFERROR(B10-C10-D10-(B10*E10),"")</f>
        <v/>
      </c>
      <c r="I10" s="4">
        <f>IFERROR(H10*F10,"")</f>
        <v/>
      </c>
      <c r="J10" s="4">
        <f>IF(H10="","",IF(H10&lt;0,"REVIEW",""))</f>
        <v/>
      </c>
    </row>
    <row r="11">
      <c r="A11" s="3" t="n"/>
      <c r="B11" s="4" t="n"/>
      <c r="C11" s="4" t="n"/>
      <c r="D11" s="4" t="n"/>
      <c r="E11" s="4" t="n"/>
      <c r="F11" s="4" t="n"/>
      <c r="G11" s="4">
        <f>IFERROR(B11-C11,"")</f>
        <v/>
      </c>
      <c r="H11" s="4">
        <f>IFERROR(B11-C11-D11-(B11*E11),"")</f>
        <v/>
      </c>
      <c r="I11" s="4">
        <f>IFERROR(H11*F11,"")</f>
        <v/>
      </c>
      <c r="J11" s="4">
        <f>IF(H11="","",IF(H11&lt;0,"REVIEW",""))</f>
        <v/>
      </c>
    </row>
    <row r="12">
      <c r="A12" s="3" t="n"/>
      <c r="B12" s="4" t="n"/>
      <c r="C12" s="4" t="n"/>
      <c r="D12" s="4" t="n"/>
      <c r="E12" s="4" t="n"/>
      <c r="F12" s="4" t="n"/>
      <c r="G12" s="4">
        <f>IFERROR(B12-C12,"")</f>
        <v/>
      </c>
      <c r="H12" s="4">
        <f>IFERROR(B12-C12-D12-(B12*E12),"")</f>
        <v/>
      </c>
      <c r="I12" s="4">
        <f>IFERROR(H12*F12,"")</f>
        <v/>
      </c>
      <c r="J12" s="4">
        <f>IF(H12="","",IF(H12&lt;0,"REVIEW",""))</f>
        <v/>
      </c>
    </row>
    <row r="13">
      <c r="A13" s="3" t="n"/>
      <c r="B13" s="4" t="n"/>
      <c r="C13" s="4" t="n"/>
      <c r="D13" s="4" t="n"/>
      <c r="E13" s="4" t="n"/>
      <c r="F13" s="4" t="n"/>
      <c r="G13" s="4">
        <f>IFERROR(B13-C13,"")</f>
        <v/>
      </c>
      <c r="H13" s="4">
        <f>IFERROR(B13-C13-D13-(B13*E13),"")</f>
        <v/>
      </c>
      <c r="I13" s="4">
        <f>IFERROR(H13*F13,"")</f>
        <v/>
      </c>
      <c r="J13" s="4">
        <f>IF(H13="","",IF(H13&lt;0,"REVIEW",""))</f>
        <v/>
      </c>
    </row>
    <row r="14">
      <c r="A14" s="3" t="n"/>
      <c r="B14" s="4" t="n"/>
      <c r="C14" s="4" t="n"/>
      <c r="D14" s="4" t="n"/>
      <c r="E14" s="4" t="n"/>
      <c r="F14" s="4" t="n"/>
      <c r="G14" s="4">
        <f>IFERROR(B14-C14,"")</f>
        <v/>
      </c>
      <c r="H14" s="4">
        <f>IFERROR(B14-C14-D14-(B14*E14),"")</f>
        <v/>
      </c>
      <c r="I14" s="4">
        <f>IFERROR(H14*F14,"")</f>
        <v/>
      </c>
      <c r="J14" s="4">
        <f>IF(H14="","",IF(H14&lt;0,"REVIEW",""))</f>
        <v/>
      </c>
    </row>
    <row r="15">
      <c r="A15" s="3" t="n"/>
      <c r="B15" s="4" t="n"/>
      <c r="C15" s="4" t="n"/>
      <c r="D15" s="4" t="n"/>
      <c r="E15" s="4" t="n"/>
      <c r="F15" s="4" t="n"/>
      <c r="G15" s="4">
        <f>IFERROR(B15-C15,"")</f>
        <v/>
      </c>
      <c r="H15" s="4">
        <f>IFERROR(B15-C15-D15-(B15*E15),"")</f>
        <v/>
      </c>
      <c r="I15" s="4">
        <f>IFERROR(H15*F15,"")</f>
        <v/>
      </c>
      <c r="J15" s="4">
        <f>IF(H15="","",IF(H15&lt;0,"REVIEW",""))</f>
        <v/>
      </c>
    </row>
    <row r="16">
      <c r="A16" s="3" t="n"/>
      <c r="B16" s="4" t="n"/>
      <c r="C16" s="4" t="n"/>
      <c r="D16" s="4" t="n"/>
      <c r="E16" s="4" t="n"/>
      <c r="F16" s="4" t="n"/>
      <c r="G16" s="4">
        <f>IFERROR(B16-C16,"")</f>
        <v/>
      </c>
      <c r="H16" s="4">
        <f>IFERROR(B16-C16-D16-(B16*E16),"")</f>
        <v/>
      </c>
      <c r="I16" s="4">
        <f>IFERROR(H16*F16,"")</f>
        <v/>
      </c>
      <c r="J16" s="4">
        <f>IF(H16="","",IF(H16&lt;0,"REVIEW",""))</f>
        <v/>
      </c>
    </row>
    <row r="17">
      <c r="A17" s="3" t="n"/>
      <c r="B17" s="4" t="n"/>
      <c r="C17" s="4" t="n"/>
      <c r="D17" s="4" t="n"/>
      <c r="E17" s="4" t="n"/>
      <c r="F17" s="4" t="n"/>
      <c r="G17" s="4">
        <f>IFERROR(B17-C17,"")</f>
        <v/>
      </c>
      <c r="H17" s="4">
        <f>IFERROR(B17-C17-D17-(B17*E17),"")</f>
        <v/>
      </c>
      <c r="I17" s="4">
        <f>IFERROR(H17*F17,"")</f>
        <v/>
      </c>
      <c r="J17" s="4">
        <f>IF(H17="","",IF(H17&lt;0,"REVIEW",""))</f>
        <v/>
      </c>
    </row>
    <row r="18">
      <c r="A18" s="3" t="n"/>
      <c r="B18" s="4" t="n"/>
      <c r="C18" s="4" t="n"/>
      <c r="D18" s="4" t="n"/>
      <c r="E18" s="4" t="n"/>
      <c r="F18" s="4" t="n"/>
      <c r="G18" s="4">
        <f>IFERROR(B18-C18,"")</f>
        <v/>
      </c>
      <c r="H18" s="4">
        <f>IFERROR(B18-C18-D18-(B18*E18),"")</f>
        <v/>
      </c>
      <c r="I18" s="4">
        <f>IFERROR(H18*F18,"")</f>
        <v/>
      </c>
      <c r="J18" s="4">
        <f>IF(H18="","",IF(H18&lt;0,"REVIEW",""))</f>
        <v/>
      </c>
    </row>
    <row r="19">
      <c r="A19" s="3" t="n"/>
      <c r="B19" s="4" t="n"/>
      <c r="C19" s="4" t="n"/>
      <c r="D19" s="4" t="n"/>
      <c r="E19" s="4" t="n"/>
      <c r="F19" s="4" t="n"/>
      <c r="G19" s="4">
        <f>IFERROR(B19-C19,"")</f>
        <v/>
      </c>
      <c r="H19" s="4">
        <f>IFERROR(B19-C19-D19-(B19*E19),"")</f>
        <v/>
      </c>
      <c r="I19" s="4">
        <f>IFERROR(H19*F19,"")</f>
        <v/>
      </c>
      <c r="J19" s="4">
        <f>IF(H19="","",IF(H19&lt;0,"REVIEW",""))</f>
        <v/>
      </c>
    </row>
    <row r="20">
      <c r="A20" s="3" t="n"/>
      <c r="B20" s="4" t="n"/>
      <c r="C20" s="4" t="n"/>
      <c r="D20" s="4" t="n"/>
      <c r="E20" s="4" t="n"/>
      <c r="F20" s="4" t="n"/>
      <c r="G20" s="4">
        <f>IFERROR(B20-C20,"")</f>
        <v/>
      </c>
      <c r="H20" s="4">
        <f>IFERROR(B20-C20-D20-(B20*E20),"")</f>
        <v/>
      </c>
      <c r="I20" s="4">
        <f>IFERROR(H20*F20,"")</f>
        <v/>
      </c>
      <c r="J20" s="4">
        <f>IF(H20="","",IF(H20&lt;0,"REVIEW",""))</f>
        <v/>
      </c>
    </row>
    <row r="21">
      <c r="A21" s="3" t="n"/>
      <c r="B21" s="4" t="n"/>
      <c r="C21" s="4" t="n"/>
      <c r="D21" s="4" t="n"/>
      <c r="E21" s="4" t="n"/>
      <c r="F21" s="4" t="n"/>
      <c r="G21" s="4">
        <f>IFERROR(B21-C21,"")</f>
        <v/>
      </c>
      <c r="H21" s="4">
        <f>IFERROR(B21-C21-D21-(B21*E21),"")</f>
        <v/>
      </c>
      <c r="I21" s="4">
        <f>IFERROR(H21*F21,"")</f>
        <v/>
      </c>
      <c r="J21" s="4">
        <f>IF(H21="","",IF(H21&lt;0,"REVIEW",""))</f>
        <v/>
      </c>
    </row>
    <row r="22">
      <c r="A22" s="3" t="n"/>
      <c r="B22" s="4" t="n"/>
      <c r="C22" s="4" t="n"/>
      <c r="D22" s="4" t="n"/>
      <c r="E22" s="4" t="n"/>
      <c r="F22" s="4" t="n"/>
      <c r="G22" s="4">
        <f>IFERROR(B22-C22,"")</f>
        <v/>
      </c>
      <c r="H22" s="4">
        <f>IFERROR(B22-C22-D22-(B22*E22),"")</f>
        <v/>
      </c>
      <c r="I22" s="4">
        <f>IFERROR(H22*F22,"")</f>
        <v/>
      </c>
      <c r="J22" s="4">
        <f>IF(H22="","",IF(H22&lt;0,"REVIEW",""))</f>
        <v/>
      </c>
    </row>
    <row r="23">
      <c r="A23" s="3" t="n"/>
      <c r="B23" s="4" t="n"/>
      <c r="C23" s="4" t="n"/>
      <c r="D23" s="4" t="n"/>
      <c r="E23" s="4" t="n"/>
      <c r="F23" s="4" t="n"/>
      <c r="G23" s="4">
        <f>IFERROR(B23-C23,"")</f>
        <v/>
      </c>
      <c r="H23" s="4">
        <f>IFERROR(B23-C23-D23-(B23*E23),"")</f>
        <v/>
      </c>
      <c r="I23" s="4">
        <f>IFERROR(H23*F23,"")</f>
        <v/>
      </c>
      <c r="J23" s="4">
        <f>IF(H23="","",IF(H23&lt;0,"REVIEW",""))</f>
        <v/>
      </c>
    </row>
    <row r="24">
      <c r="A24" s="3" t="n"/>
      <c r="B24" s="4" t="n"/>
      <c r="C24" s="4" t="n"/>
      <c r="D24" s="4" t="n"/>
      <c r="E24" s="4" t="n"/>
      <c r="F24" s="4" t="n"/>
      <c r="G24" s="4">
        <f>IFERROR(B24-C24,"")</f>
        <v/>
      </c>
      <c r="H24" s="4">
        <f>IFERROR(B24-C24-D24-(B24*E24),"")</f>
        <v/>
      </c>
      <c r="I24" s="4">
        <f>IFERROR(H24*F24,"")</f>
        <v/>
      </c>
      <c r="J24" s="4">
        <f>IF(H24="","",IF(H24&lt;0,"REVIEW",""))</f>
        <v/>
      </c>
    </row>
    <row r="25">
      <c r="A25" s="3" t="n"/>
      <c r="B25" s="4" t="n"/>
      <c r="C25" s="4" t="n"/>
      <c r="D25" s="4" t="n"/>
      <c r="E25" s="4" t="n"/>
      <c r="F25" s="4" t="n"/>
      <c r="G25" s="4">
        <f>IFERROR(B25-C25,"")</f>
        <v/>
      </c>
      <c r="H25" s="4">
        <f>IFERROR(B25-C25-D25-(B25*E25),"")</f>
        <v/>
      </c>
      <c r="I25" s="4">
        <f>IFERROR(H25*F25,"")</f>
        <v/>
      </c>
      <c r="J25" s="4">
        <f>IF(H25="","",IF(H25&lt;0,"REVIEW",""))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2">
      <c r="A2" s="1" t="inlineStr">
        <is>
          <t>Noriva Item Profitability Analysis</t>
        </is>
      </c>
    </row>
    <row r="5">
      <c r="A5" s="2" t="inlineStr">
        <is>
          <t>Metric</t>
        </is>
      </c>
      <c r="B5" s="2" t="inlineStr">
        <is>
          <t>Result</t>
        </is>
      </c>
    </row>
    <row r="6">
      <c r="A6" s="3" t="inlineStr">
        <is>
          <t>Items entered</t>
        </is>
      </c>
      <c r="B6" s="4">
        <f>COUNTA(Inputs!A6:A25)</f>
        <v/>
      </c>
    </row>
    <row r="7">
      <c r="A7" s="3" t="inlineStr">
        <is>
          <t>Total contribution</t>
        </is>
      </c>
      <c r="B7" s="4">
        <f>SUM(Inputs!I6:I25)</f>
        <v/>
      </c>
    </row>
    <row r="8">
      <c r="A8" s="3" t="inlineStr">
        <is>
          <t>Loss-making items</t>
        </is>
      </c>
      <c r="B8" s="4">
        <f>COUNTIF(Inputs!J6:J25,"REVIEW")</f>
        <v/>
      </c>
    </row>
    <row r="9">
      <c r="A9" s="3" t="inlineStr">
        <is>
          <t>Best contribution per unit</t>
        </is>
      </c>
      <c r="B9" s="4">
        <f>IFERROR(MAX(Inputs!H6:H25),"")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2">
      <c r="A2" s="1" t="inlineStr">
        <is>
          <t>Noriva Item Profitability Analysis</t>
        </is>
      </c>
    </row>
    <row r="4">
      <c r="A4" s="5" t="inlineStr">
        <is>
          <t>How to use this workbook</t>
        </is>
      </c>
    </row>
    <row r="6">
      <c r="A6" s="3" t="n">
        <v>1</v>
      </c>
      <c r="B6" s="3" t="inlineStr">
        <is>
          <t>Replace sample rows with your verified business data.</t>
        </is>
      </c>
    </row>
    <row r="7">
      <c r="A7" s="3" t="n">
        <v>2</v>
      </c>
      <c r="B7" s="3" t="inlineStr">
        <is>
          <t>Yellow and blue-font cells are intended for user inputs; calculated cells contain formulas.</t>
        </is>
      </c>
    </row>
    <row r="8">
      <c r="A8" s="3" t="n">
        <v>3</v>
      </c>
      <c r="B8" s="3" t="inlineStr">
        <is>
          <t>Review the Summary after completing the input table.</t>
        </is>
      </c>
    </row>
    <row r="9">
      <c r="A9" s="3" t="n">
        <v>4</v>
      </c>
      <c r="B9" s="3" t="inlineStr">
        <is>
          <t>Do not use sample values as market facts or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2026-09-09T05:48:07Z</dcterms:created>
  <dcterms:modified xmlns:dcterms="http://purl.org/dc/terms/" xmlns:xsi="http://www.w3.org/2001/XMLSchema-instance" xsi:type="dcterms:W3CDTF">2026-09-09T05:48:07Z</dcterms:modified>
</cp:coreProperties>
</file>