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af24fd9ed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e725d3aa69c445c"/>
    <x:sheet xmlns:r="http://schemas.openxmlformats.org/officeDocument/2006/relationships" name="Summary" sheetId="2" r:id="Ra9877a66a5d943b7"/>
    <x:sheet xmlns:r="http://schemas.openxmlformats.org/officeDocument/2006/relationships" name="Instructions" sheetId="3" r:id="R6e3635558807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2"/>
      <x:color rgb="FF17324D"/>
    </x:font>
    <x:font>
      <x:b/>
      <x:sz val="10"/>
      <x:color rgb="FFFFFFFF"/>
    </x:font>
    <x:font>
      <x:sz val="10"/>
      <x:color rgb="FF1F2933"/>
    </x:font>
    <x:font>
      <x:sz val="10"/>
      <x:color rgb="FF0070C0"/>
    </x:font>
    <x:font>
      <x:b/>
      <x:sz val="10"/>
      <x:color rgb="FF17324D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2" borderId="0" xfId="0" applyAlignment="1">
      <x:alignment vertical="center" wrapText="1"/>
    </x:xf>
    <x:xf numFmtId="0" fontId="3" fillId="0" borderId="0" xfId="0"/>
    <x:xf numFmtId="0" fontId="4" fillId="0" borderId="0" xfId="0"/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5b4441d9249ad" /><Relationship Type="http://schemas.openxmlformats.org/officeDocument/2006/relationships/theme" Target="/xl/theme/theme1.xml" Id="R181c3d68b2694863" /><Relationship Type="http://schemas.openxmlformats.org/officeDocument/2006/relationships/sharedStrings" Target="/xl/sharedStrings.xml" Id="R24655b5bb66a4049" /><Relationship Type="http://schemas.openxmlformats.org/officeDocument/2006/relationships/worksheet" Target="/xl/worksheets/sheet1.xml" Id="Rde725d3aa69c445c" /><Relationship Type="http://schemas.openxmlformats.org/officeDocument/2006/relationships/worksheet" Target="/xl/worksheets/sheet2.xml" Id="Ra9877a66a5d943b7" /><Relationship Type="http://schemas.openxmlformats.org/officeDocument/2006/relationships/worksheet" Target="/xl/worksheets/sheet3.xml" Id="R6e363555880749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5be33186fb3471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1fddd17f2e64466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ba58044dd5f44fc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37a4a37-c544-49df-8d49-2135ecd8d2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be33186fb347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bbd23d52-9d11-412c-8215-d60ec5e73c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ddd17f2e6446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4c74acc-3c06-47ca-9c27-4d431fa36f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58044dd5f44f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912a70540140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96da7d01e3541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580c9c7521a489b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8" defaultRowHeight="15"/>
  <x:cols>
    <x:col min="1" max="1" width="22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</x:cols>
  <x:sheetData>
    <x:row r="1" ht="48" customHeight="1"/>
    <x:row r="2">
      <x:c r="A2" s="1" t="inlineStr">
        <x:is>
          <x:t xml:space="preserve">Noriva Item Profitability Analysis</x:t>
        </x:is>
      </x:c>
    </x:row>
    <x:row r="5">
      <x:c r="A5" s="2" t="inlineStr">
        <x:is>
          <x:t xml:space="preserve">Menu item</x:t>
        </x:is>
      </x:c>
      <x:c r="B5" s="2" t="inlineStr">
        <x:is>
          <x:t xml:space="preserve">Selling price</x:t>
        </x:is>
      </x:c>
      <x:c r="C5" s="2" t="inlineStr">
        <x:is>
          <x:t xml:space="preserve">Food cost</x:t>
        </x:is>
      </x:c>
      <x:c r="D5" s="2" t="inlineStr">
        <x:is>
          <x:t xml:space="preserve">Packaging</x:t>
        </x:is>
      </x:c>
      <x:c r="E5" s="2" t="inlineStr">
        <x:is>
          <x:t xml:space="preserve">Channel commission %</x:t>
        </x:is>
      </x:c>
      <x:c r="F5" s="2" t="inlineStr">
        <x:is>
          <x:t xml:space="preserve">Units sold</x:t>
        </x:is>
      </x:c>
      <x:c r="G5" s="2" t="inlineStr">
        <x:is>
          <x:t xml:space="preserve">Gross profit</x:t>
        </x:is>
      </x:c>
      <x:c r="H5" s="2" t="inlineStr">
        <x:is>
          <x:t xml:space="preserve">Contribution per unit</x:t>
        </x:is>
      </x:c>
      <x:c r="I5" s="2" t="inlineStr">
        <x:is>
          <x:t xml:space="preserve">Total contribution</x:t>
        </x:is>
      </x:c>
      <x:c r="J5" s="2" t="inlineStr">
        <x:is>
          <x:t xml:space="preserve">Loss-making</x:t>
        </x:is>
      </x:c>
    </x:row>
    <x:row r="6">
      <x:c r="A6" s="3" t="inlineStr">
        <x:is>
          <x:t xml:space="preserve">Item A</x:t>
        </x:is>
      </x:c>
      <x:c r="B6" s="4" t="n"/>
      <x:c r="C6" s="4" t="n"/>
      <x:c r="D6" s="4" t="n"/>
      <x:c r="E6" s="4" t="n"/>
      <x:c r="F6" s="4" t="n"/>
      <x:c r="G6" s="4" t="n">
        <x:f>IFERROR(B6-C6,"")</x:f>
        <x:v>0</x:v>
      </x:c>
      <x:c r="H6" s="4" t="n">
        <x:f>IFERROR(B6-C6-D6-(B6*E6),"")</x:f>
        <x:v>0</x:v>
      </x:c>
      <x:c r="I6" s="4" t="n">
        <x:f>IFERROR(H6*F6,"")</x:f>
        <x:v>0</x:v>
      </x:c>
      <x:c r="J6" s="4" t="str">
        <x:f>IF(H6="","",IF(H6&lt;0,"REVIEW",""))</x:f>
      </x:c>
    </x:row>
    <x:row r="7">
      <x:c r="A7" s="3" t="inlineStr">
        <x:is>
          <x:t xml:space="preserve">Item B</x:t>
        </x:is>
      </x:c>
      <x:c r="B7" s="4" t="n"/>
      <x:c r="C7" s="4" t="n"/>
      <x:c r="D7" s="4" t="n"/>
      <x:c r="E7" s="4" t="n"/>
      <x:c r="F7" s="4" t="n"/>
      <x:c r="G7" s="4" t="n">
        <x:f>IFERROR(B7-C7,"")</x:f>
        <x:v>0</x:v>
      </x:c>
      <x:c r="H7" s="4" t="n">
        <x:f>IFERROR(B7-C7-D7-(B7*E7),"")</x:f>
        <x:v>0</x:v>
      </x:c>
      <x:c r="I7" s="4" t="n">
        <x:f>IFERROR(H7*F7,"")</x:f>
        <x:v>0</x:v>
      </x:c>
      <x:c r="J7" s="4" t="str">
        <x:f>IF(H7="","",IF(H7&lt;0,"REVIEW",""))</x:f>
      </x:c>
    </x:row>
    <x:row r="8">
      <x:c r="A8" s="3" t="inlineStr">
        <x:is>
          <x:t xml:space="preserve">Item C</x:t>
        </x:is>
      </x:c>
      <x:c r="B8" s="4" t="n"/>
      <x:c r="C8" s="4" t="n"/>
      <x:c r="D8" s="4" t="n"/>
      <x:c r="E8" s="4" t="n"/>
      <x:c r="F8" s="4" t="n"/>
      <x:c r="G8" s="4" t="n">
        <x:f>IFERROR(B8-C8,"")</x:f>
        <x:v>0</x:v>
      </x:c>
      <x:c r="H8" s="4" t="n">
        <x:f>IFERROR(B8-C8-D8-(B8*E8),"")</x:f>
        <x:v>0</x:v>
      </x:c>
      <x:c r="I8" s="4" t="n">
        <x:f>IFERROR(H8*F8,"")</x:f>
        <x:v>0</x:v>
      </x:c>
      <x:c r="J8" s="4" t="str">
        <x:f>IF(H8="","",IF(H8&lt;0,"REVIEW",""))</x:f>
      </x:c>
    </x:row>
    <x:row r="9">
      <x:c r="A9" s="3" t="n"/>
      <x:c r="B9" s="4" t="n"/>
      <x:c r="C9" s="4" t="n"/>
      <x:c r="D9" s="4" t="n"/>
      <x:c r="E9" s="4" t="n"/>
      <x:c r="F9" s="4" t="n"/>
      <x:c r="G9" s="4" t="n">
        <x:f>IFERROR(B9-C9,"")</x:f>
        <x:v>0</x:v>
      </x:c>
      <x:c r="H9" s="4" t="n">
        <x:f>IFERROR(B9-C9-D9-(B9*E9),"")</x:f>
        <x:v>0</x:v>
      </x:c>
      <x:c r="I9" s="4" t="n">
        <x:f>IFERROR(H9*F9,"")</x:f>
        <x:v>0</x:v>
      </x:c>
      <x:c r="J9" s="4" t="str">
        <x:f>IF(H9="","",IF(H9&lt;0,"REVIEW",""))</x:f>
      </x:c>
    </x:row>
    <x:row r="10">
      <x:c r="A10" s="3" t="n"/>
      <x:c r="B10" s="4" t="n"/>
      <x:c r="C10" s="4" t="n"/>
      <x:c r="D10" s="4" t="n"/>
      <x:c r="E10" s="4" t="n"/>
      <x:c r="F10" s="4" t="n"/>
      <x:c r="G10" s="4" t="n">
        <x:f>IFERROR(B10-C10,"")</x:f>
        <x:v>0</x:v>
      </x:c>
      <x:c r="H10" s="4" t="n">
        <x:f>IFERROR(B10-C10-D10-(B10*E10),"")</x:f>
        <x:v>0</x:v>
      </x:c>
      <x:c r="I10" s="4" t="n">
        <x:f>IFERROR(H10*F10,"")</x:f>
        <x:v>0</x:v>
      </x:c>
      <x:c r="J10" s="4" t="str">
        <x:f>IF(H10="","",IF(H10&lt;0,"REVIEW",""))</x:f>
      </x:c>
    </x:row>
    <x:row r="11">
      <x:c r="A11" s="3" t="n"/>
      <x:c r="B11" s="4" t="n"/>
      <x:c r="C11" s="4" t="n"/>
      <x:c r="D11" s="4" t="n"/>
      <x:c r="E11" s="4" t="n"/>
      <x:c r="F11" s="4" t="n"/>
      <x:c r="G11" s="4" t="n">
        <x:f>IFERROR(B11-C11,"")</x:f>
        <x:v>0</x:v>
      </x:c>
      <x:c r="H11" s="4" t="n">
        <x:f>IFERROR(B11-C11-D11-(B11*E11),"")</x:f>
        <x:v>0</x:v>
      </x:c>
      <x:c r="I11" s="4" t="n">
        <x:f>IFERROR(H11*F11,"")</x:f>
        <x:v>0</x:v>
      </x:c>
      <x:c r="J11" s="4" t="str">
        <x:f>IF(H11="","",IF(H11&lt;0,"REVIEW",""))</x:f>
      </x:c>
    </x:row>
    <x:row r="12">
      <x:c r="A12" s="3" t="n"/>
      <x:c r="B12" s="4" t="n"/>
      <x:c r="C12" s="4" t="n"/>
      <x:c r="D12" s="4" t="n"/>
      <x:c r="E12" s="4" t="n"/>
      <x:c r="F12" s="4" t="n"/>
      <x:c r="G12" s="4" t="n">
        <x:f>IFERROR(B12-C12,"")</x:f>
        <x:v>0</x:v>
      </x:c>
      <x:c r="H12" s="4" t="n">
        <x:f>IFERROR(B12-C12-D12-(B12*E12),"")</x:f>
        <x:v>0</x:v>
      </x:c>
      <x:c r="I12" s="4" t="n">
        <x:f>IFERROR(H12*F12,"")</x:f>
        <x:v>0</x:v>
      </x:c>
      <x:c r="J12" s="4" t="str">
        <x:f>IF(H12="","",IF(H12&lt;0,"REVIEW",""))</x:f>
      </x:c>
    </x:row>
    <x:row r="13">
      <x:c r="A13" s="3" t="n"/>
      <x:c r="B13" s="4" t="n"/>
      <x:c r="C13" s="4" t="n"/>
      <x:c r="D13" s="4" t="n"/>
      <x:c r="E13" s="4" t="n"/>
      <x:c r="F13" s="4" t="n"/>
      <x:c r="G13" s="4" t="n">
        <x:f>IFERROR(B13-C13,"")</x:f>
        <x:v>0</x:v>
      </x:c>
      <x:c r="H13" s="4" t="n">
        <x:f>IFERROR(B13-C13-D13-(B13*E13),"")</x:f>
        <x:v>0</x:v>
      </x:c>
      <x:c r="I13" s="4" t="n">
        <x:f>IFERROR(H13*F13,"")</x:f>
        <x:v>0</x:v>
      </x:c>
      <x:c r="J13" s="4" t="str">
        <x:f>IF(H13="","",IF(H13&lt;0,"REVIEW",""))</x:f>
      </x:c>
    </x:row>
    <x:row r="14">
      <x:c r="A14" s="3" t="n"/>
      <x:c r="B14" s="4" t="n"/>
      <x:c r="C14" s="4" t="n"/>
      <x:c r="D14" s="4" t="n"/>
      <x:c r="E14" s="4" t="n"/>
      <x:c r="F14" s="4" t="n"/>
      <x:c r="G14" s="4" t="n">
        <x:f>IFERROR(B14-C14,"")</x:f>
        <x:v>0</x:v>
      </x:c>
      <x:c r="H14" s="4" t="n">
        <x:f>IFERROR(B14-C14-D14-(B14*E14),"")</x:f>
        <x:v>0</x:v>
      </x:c>
      <x:c r="I14" s="4" t="n">
        <x:f>IFERROR(H14*F14,"")</x:f>
        <x:v>0</x:v>
      </x:c>
      <x:c r="J14" s="4" t="str">
        <x:f>IF(H14="","",IF(H14&lt;0,"REVIEW",""))</x:f>
      </x:c>
    </x:row>
    <x:row r="15">
      <x:c r="A15" s="3" t="n"/>
      <x:c r="B15" s="4" t="n"/>
      <x:c r="C15" s="4" t="n"/>
      <x:c r="D15" s="4" t="n"/>
      <x:c r="E15" s="4" t="n"/>
      <x:c r="F15" s="4" t="n"/>
      <x:c r="G15" s="4" t="n">
        <x:f>IFERROR(B15-C15,"")</x:f>
        <x:v>0</x:v>
      </x:c>
      <x:c r="H15" s="4" t="n">
        <x:f>IFERROR(B15-C15-D15-(B15*E15),"")</x:f>
        <x:v>0</x:v>
      </x:c>
      <x:c r="I15" s="4" t="n">
        <x:f>IFERROR(H15*F15,"")</x:f>
        <x:v>0</x:v>
      </x:c>
      <x:c r="J15" s="4" t="str">
        <x:f>IF(H15="","",IF(H15&lt;0,"REVIEW",""))</x:f>
      </x:c>
    </x:row>
    <x:row r="16">
      <x:c r="A16" s="3" t="n"/>
      <x:c r="B16" s="4" t="n"/>
      <x:c r="C16" s="4" t="n"/>
      <x:c r="D16" s="4" t="n"/>
      <x:c r="E16" s="4" t="n"/>
      <x:c r="F16" s="4" t="n"/>
      <x:c r="G16" s="4" t="n">
        <x:f>IFERROR(B16-C16,"")</x:f>
        <x:v>0</x:v>
      </x:c>
      <x:c r="H16" s="4" t="n">
        <x:f>IFERROR(B16-C16-D16-(B16*E16),"")</x:f>
        <x:v>0</x:v>
      </x:c>
      <x:c r="I16" s="4" t="n">
        <x:f>IFERROR(H16*F16,"")</x:f>
        <x:v>0</x:v>
      </x:c>
      <x:c r="J16" s="4" t="str">
        <x:f>IF(H16="","",IF(H16&lt;0,"REVIEW",""))</x:f>
      </x:c>
    </x:row>
    <x:row r="17">
      <x:c r="A17" s="3" t="n"/>
      <x:c r="B17" s="4" t="n"/>
      <x:c r="C17" s="4" t="n"/>
      <x:c r="D17" s="4" t="n"/>
      <x:c r="E17" s="4" t="n"/>
      <x:c r="F17" s="4" t="n"/>
      <x:c r="G17" s="4" t="n">
        <x:f>IFERROR(B17-C17,"")</x:f>
        <x:v>0</x:v>
      </x:c>
      <x:c r="H17" s="4" t="n">
        <x:f>IFERROR(B17-C17-D17-(B17*E17),"")</x:f>
        <x:v>0</x:v>
      </x:c>
      <x:c r="I17" s="4" t="n">
        <x:f>IFERROR(H17*F17,"")</x:f>
        <x:v>0</x:v>
      </x:c>
      <x:c r="J17" s="4" t="str">
        <x:f>IF(H17="","",IF(H17&lt;0,"REVIEW",""))</x:f>
      </x:c>
    </x:row>
    <x:row r="18">
      <x:c r="A18" s="3" t="n"/>
      <x:c r="B18" s="4" t="n"/>
      <x:c r="C18" s="4" t="n"/>
      <x:c r="D18" s="4" t="n"/>
      <x:c r="E18" s="4" t="n"/>
      <x:c r="F18" s="4" t="n"/>
      <x:c r="G18" s="4" t="n">
        <x:f>IFERROR(B18-C18,"")</x:f>
        <x:v>0</x:v>
      </x:c>
      <x:c r="H18" s="4" t="n">
        <x:f>IFERROR(B18-C18-D18-(B18*E18),"")</x:f>
        <x:v>0</x:v>
      </x:c>
      <x:c r="I18" s="4" t="n">
        <x:f>IFERROR(H18*F18,"")</x:f>
        <x:v>0</x:v>
      </x:c>
      <x:c r="J18" s="4" t="str">
        <x:f>IF(H18="","",IF(H18&lt;0,"REVIEW",""))</x:f>
      </x:c>
    </x:row>
    <x:row r="19">
      <x:c r="A19" s="3" t="n"/>
      <x:c r="B19" s="4" t="n"/>
      <x:c r="C19" s="4" t="n"/>
      <x:c r="D19" s="4" t="n"/>
      <x:c r="E19" s="4" t="n"/>
      <x:c r="F19" s="4" t="n"/>
      <x:c r="G19" s="4" t="n">
        <x:f>IFERROR(B19-C19,"")</x:f>
        <x:v>0</x:v>
      </x:c>
      <x:c r="H19" s="4" t="n">
        <x:f>IFERROR(B19-C19-D19-(B19*E19),"")</x:f>
        <x:v>0</x:v>
      </x:c>
      <x:c r="I19" s="4" t="n">
        <x:f>IFERROR(H19*F19,"")</x:f>
        <x:v>0</x:v>
      </x:c>
      <x:c r="J19" s="4" t="str">
        <x:f>IF(H19="","",IF(H19&lt;0,"REVIEW",""))</x:f>
      </x:c>
    </x:row>
    <x:row r="20">
      <x:c r="A20" s="3" t="n"/>
      <x:c r="B20" s="4" t="n"/>
      <x:c r="C20" s="4" t="n"/>
      <x:c r="D20" s="4" t="n"/>
      <x:c r="E20" s="4" t="n"/>
      <x:c r="F20" s="4" t="n"/>
      <x:c r="G20" s="4" t="n">
        <x:f>IFERROR(B20-C20,"")</x:f>
        <x:v>0</x:v>
      </x:c>
      <x:c r="H20" s="4" t="n">
        <x:f>IFERROR(B20-C20-D20-(B20*E20),"")</x:f>
        <x:v>0</x:v>
      </x:c>
      <x:c r="I20" s="4" t="n">
        <x:f>IFERROR(H20*F20,"")</x:f>
        <x:v>0</x:v>
      </x:c>
      <x:c r="J20" s="4" t="str">
        <x:f>IF(H20="","",IF(H20&lt;0,"REVIEW",""))</x:f>
      </x:c>
    </x:row>
    <x:row r="21">
      <x:c r="A21" s="3" t="n"/>
      <x:c r="B21" s="4" t="n"/>
      <x:c r="C21" s="4" t="n"/>
      <x:c r="D21" s="4" t="n"/>
      <x:c r="E21" s="4" t="n"/>
      <x:c r="F21" s="4" t="n"/>
      <x:c r="G21" s="4" t="n">
        <x:f>IFERROR(B21-C21,"")</x:f>
        <x:v>0</x:v>
      </x:c>
      <x:c r="H21" s="4" t="n">
        <x:f>IFERROR(B21-C21-D21-(B21*E21),"")</x:f>
        <x:v>0</x:v>
      </x:c>
      <x:c r="I21" s="4" t="n">
        <x:f>IFERROR(H21*F21,"")</x:f>
        <x:v>0</x:v>
      </x:c>
      <x:c r="J21" s="4" t="str">
        <x:f>IF(H21="","",IF(H21&lt;0,"REVIEW",""))</x:f>
      </x:c>
    </x:row>
    <x:row r="22">
      <x:c r="A22" s="3" t="n"/>
      <x:c r="B22" s="4" t="n"/>
      <x:c r="C22" s="4" t="n"/>
      <x:c r="D22" s="4" t="n"/>
      <x:c r="E22" s="4" t="n"/>
      <x:c r="F22" s="4" t="n"/>
      <x:c r="G22" s="4" t="n">
        <x:f>IFERROR(B22-C22,"")</x:f>
        <x:v>0</x:v>
      </x:c>
      <x:c r="H22" s="4" t="n">
        <x:f>IFERROR(B22-C22-D22-(B22*E22),"")</x:f>
        <x:v>0</x:v>
      </x:c>
      <x:c r="I22" s="4" t="n">
        <x:f>IFERROR(H22*F22,"")</x:f>
        <x:v>0</x:v>
      </x:c>
      <x:c r="J22" s="4" t="str">
        <x:f>IF(H22="","",IF(H22&lt;0,"REVIEW",""))</x:f>
      </x:c>
    </x:row>
    <x:row r="23">
      <x:c r="A23" s="3" t="n"/>
      <x:c r="B23" s="4" t="n"/>
      <x:c r="C23" s="4" t="n"/>
      <x:c r="D23" s="4" t="n"/>
      <x:c r="E23" s="4" t="n"/>
      <x:c r="F23" s="4" t="n"/>
      <x:c r="G23" s="4" t="n">
        <x:f>IFERROR(B23-C23,"")</x:f>
        <x:v>0</x:v>
      </x:c>
      <x:c r="H23" s="4" t="n">
        <x:f>IFERROR(B23-C23-D23-(B23*E23),"")</x:f>
        <x:v>0</x:v>
      </x:c>
      <x:c r="I23" s="4" t="n">
        <x:f>IFERROR(H23*F23,"")</x:f>
        <x:v>0</x:v>
      </x:c>
      <x:c r="J23" s="4" t="str">
        <x:f>IF(H23="","",IF(H23&lt;0,"REVIEW",""))</x:f>
      </x:c>
    </x:row>
    <x:row r="24">
      <x:c r="A24" s="3" t="n"/>
      <x:c r="B24" s="4" t="n"/>
      <x:c r="C24" s="4" t="n"/>
      <x:c r="D24" s="4" t="n"/>
      <x:c r="E24" s="4" t="n"/>
      <x:c r="F24" s="4" t="n"/>
      <x:c r="G24" s="4" t="n">
        <x:f>IFERROR(B24-C24,"")</x:f>
        <x:v>0</x:v>
      </x:c>
      <x:c r="H24" s="4" t="n">
        <x:f>IFERROR(B24-C24-D24-(B24*E24),"")</x:f>
        <x:v>0</x:v>
      </x:c>
      <x:c r="I24" s="4" t="n">
        <x:f>IFERROR(H24*F24,"")</x:f>
        <x:v>0</x:v>
      </x:c>
      <x:c r="J24" s="4" t="str">
        <x:f>IF(H24="","",IF(H24&lt;0,"REVIEW",""))</x:f>
      </x:c>
    </x:row>
    <x:row r="25">
      <x:c r="A25" s="3" t="n"/>
      <x:c r="B25" s="4" t="n"/>
      <x:c r="C25" s="4" t="n"/>
      <x:c r="D25" s="4" t="n"/>
      <x:c r="E25" s="4" t="n"/>
      <x:c r="F25" s="4" t="n"/>
      <x:c r="G25" s="4" t="n">
        <x:f>IFERROR(B25-C25,"")</x:f>
        <x:v>0</x:v>
      </x:c>
      <x:c r="H25" s="4" t="n">
        <x:f>IFERROR(B25-C25-D25-(B25*E25),"")</x:f>
        <x:v>0</x:v>
      </x:c>
      <x:c r="I25" s="4" t="n">
        <x:f>IFERROR(H25*F25,"")</x:f>
        <x:v>0</x:v>
      </x:c>
      <x:c r="J25" s="4" t="str">
        <x:f>IF(H25="","",IF(H25&lt;0,"REVIEW",""))</x:f>
      </x:c>
    </x:row>
  </x:sheetData>
  <x:pageMargins left="0.7" right="0.7" top="0.75" bottom="0.75" header="0.3" footer="0.3"/>
  <x:drawing xmlns:r="http://schemas.openxmlformats.org/officeDocument/2006/relationships" r:id="R95912a705401409f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</x:cols>
  <x:sheetData>
    <x:row r="1" ht="48" customHeight="1"/>
    <x:row r="2">
      <x:c r="A2" s="1" t="inlineStr">
        <x:is>
          <x:t xml:space="preserve">Noriva Item Profitability Analysis</x:t>
        </x:is>
      </x:c>
    </x:row>
    <x:row r="5">
      <x:c r="A5" s="2" t="inlineStr">
        <x:is>
          <x:t xml:space="preserve">Metric</x:t>
        </x:is>
      </x:c>
      <x:c r="B5" s="2" t="inlineStr">
        <x:is>
          <x:t xml:space="preserve">Result</x:t>
        </x:is>
      </x:c>
    </x:row>
    <x:row r="6">
      <x:c r="A6" s="3" t="inlineStr">
        <x:is>
          <x:t xml:space="preserve">Items entered</x:t>
        </x:is>
      </x:c>
      <x:c r="B6" s="4" t="n">
        <x:f>COUNTA(Inputs!A6:A25)</x:f>
        <x:v>3</x:v>
      </x:c>
    </x:row>
    <x:row r="7">
      <x:c r="A7" s="3" t="inlineStr">
        <x:is>
          <x:t xml:space="preserve">Total contribution</x:t>
        </x:is>
      </x:c>
      <x:c r="B7" s="4" t="n">
        <x:f>SUM(Inputs!I6:I25)</x:f>
        <x:v>0</x:v>
      </x:c>
    </x:row>
    <x:row r="8">
      <x:c r="A8" s="3" t="inlineStr">
        <x:is>
          <x:t xml:space="preserve">Loss-making items</x:t>
        </x:is>
      </x:c>
      <x:c r="B8" s="4" t="n">
        <x:f>COUNTIF(Inputs!J6:J25,"REVIEW")</x:f>
        <x:v>0</x:v>
      </x:c>
    </x:row>
    <x:row r="9">
      <x:c r="A9" s="3" t="inlineStr">
        <x:is>
          <x:t xml:space="preserve">Best contribution per unit</x:t>
        </x:is>
      </x:c>
      <x:c r="B9" s="4" t="n">
        <x:f>IFERROR(MAX(Inputs!H6:H25),"")</x:f>
        <x:v>0</x:v>
      </x:c>
    </x:row>
  </x:sheetData>
  <x:pageMargins left="0.7" right="0.7" top="0.75" bottom="0.75" header="0.3" footer="0.3"/>
  <x:drawing xmlns:r="http://schemas.openxmlformats.org/officeDocument/2006/relationships" r:id="Rb96da7d01e35412d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96" customWidth="1"/>
  </x:cols>
  <x:sheetData>
    <x:row r="1" ht="48" customHeight="1"/>
    <x:row r="2">
      <x:c r="A2" s="1" t="inlineStr">
        <x:is>
          <x:t xml:space="preserve">Noriva Item Profitability Analysis</x:t>
        </x:is>
      </x:c>
    </x:row>
    <x:row r="4">
      <x:c r="A4" s="5" t="inlineStr">
        <x:is>
          <x:t xml:space="preserve">How to use this workbook</x:t>
        </x:is>
      </x:c>
    </x:row>
    <x:row r="6">
      <x:c r="A6" s="3" t="n">
        <x:v>1</x:v>
      </x:c>
      <x:c r="B6" s="3" t="inlineStr">
        <x:is>
          <x:t xml:space="preserve">Replace sample rows with your verified business data.</x:t>
        </x:is>
      </x:c>
    </x:row>
    <x:row r="7">
      <x:c r="A7" s="3" t="n">
        <x:v>2</x:v>
      </x:c>
      <x:c r="B7" s="3" t="inlineStr">
        <x:is>
          <x:t xml:space="preserve">Yellow and blue-font cells are intended for user inputs; calculated cells contain formulas.</x:t>
        </x:is>
      </x:c>
    </x:row>
    <x:row r="8">
      <x:c r="A8" s="3" t="n">
        <x:v>3</x:v>
      </x:c>
      <x:c r="B8" s="3" t="inlineStr">
        <x:is>
          <x:t xml:space="preserve">Review the Summary after completing the input table.</x:t>
        </x:is>
      </x:c>
    </x:row>
    <x:row r="9">
      <x:c r="A9" s="3" t="n">
        <x:v>4</x:v>
      </x:c>
      <x:c r="B9" s="3" t="inlineStr">
        <x:is>
          <x:t xml:space="preserve">Do not use sample values as market facts or investment advice.</x:t>
        </x:is>
      </x:c>
    </x:row>
  </x:sheetData>
  <x:pageMargins left="0.7" right="0.7" top="0.75" bottom="0.75" header="0.3" footer="0.3"/>
  <x:drawing xmlns:r="http://schemas.openxmlformats.org/officeDocument/2006/relationships" r:id="Rf580c9c7521a489b"/>
</x:worksheet>
</file>