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31b65247a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4bfdef587ad48b2"/>
    <x:sheet xmlns:r="http://schemas.openxmlformats.org/officeDocument/2006/relationships" name="Summary" sheetId="2" r:id="R4c010dba35f54856"/>
    <x:sheet xmlns:r="http://schemas.openxmlformats.org/officeDocument/2006/relationships" name="Instructions" sheetId="3" r:id="R8c817b5933ac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37eafac1447cb" /><Relationship Type="http://schemas.openxmlformats.org/officeDocument/2006/relationships/theme" Target="/xl/theme/theme1.xml" Id="Re712cbde401b4ab2" /><Relationship Type="http://schemas.openxmlformats.org/officeDocument/2006/relationships/sharedStrings" Target="/xl/sharedStrings.xml" Id="R9a773b8fe1ab4dc3" /><Relationship Type="http://schemas.openxmlformats.org/officeDocument/2006/relationships/worksheet" Target="/xl/worksheets/sheet1.xml" Id="Rb4bfdef587ad48b2" /><Relationship Type="http://schemas.openxmlformats.org/officeDocument/2006/relationships/worksheet" Target="/xl/worksheets/sheet2.xml" Id="R4c010dba35f54856" /><Relationship Type="http://schemas.openxmlformats.org/officeDocument/2006/relationships/worksheet" Target="/xl/worksheets/sheet3.xml" Id="R8c817b5933ac4d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9ba1148a46343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8cdb88789a4b489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b0bcc387f8f240f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641a3ef6-18b9-43c5-ae16-23712180ba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ba1148a46343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c643076-9c21-4fc4-8150-54f2480ed8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b88789a4b48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8ec4ae4-e621-4b74-91b6-145f188c57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bcc387f8f2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5b4a86e0a945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a032264d50b41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dd5ca7b074c463a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Revenue Forecast by Channel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Month</x:v>
      </x:c>
      <x:c r="B5" s="8" t="str">
        <x:v>Dine-in orders</x:v>
      </x:c>
      <x:c r="C5" s="8" t="str">
        <x:v>Dine-in ATV</x:v>
      </x:c>
      <x:c r="D5" s="8" t="str">
        <x:v>Delivery orders</x:v>
      </x:c>
      <x:c r="E5" s="8" t="str">
        <x:v>Delivery ATV</x:v>
      </x:c>
      <x:c r="F5" s="8" t="str">
        <x:v>Total revenue</x:v>
      </x:c>
      <x:c r="G5" s="8" t="str">
        <x:v>Delivery share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Jan</x:v>
      </x:c>
      <x:c r="B6" s="16" t="n">
        <x:v>3000</x:v>
      </x:c>
      <x:c r="C6" s="16" t="n">
        <x:v>62</x:v>
      </x:c>
      <x:c r="D6" s="16" t="n">
        <x:v>1800</x:v>
      </x:c>
      <x:c r="E6" s="16" t="n">
        <x:f>IFERROR(B6*C6+D6*E6,"")</x:f>
        <x:v>186000</x:v>
      </x:c>
      <x:c r="F6" s="16" t="n">
        <x:f>IFERROR(B6*C6+D6*E6,"")</x:f>
        <x:v>334986000</x:v>
      </x:c>
      <x:c r="G6" s="16" t="n">
        <x:f>IFERROR(D6*E6/F6,"")</x:f>
        <x:v>0.9994447529150472</x:v>
      </x:c>
      <x:c r="H6" s="15" t="str">
        <x:v>Editable assumptions</x:v>
      </x:c>
      <x:c r="I6" s="1"/>
      <x:c r="J6" s="1"/>
      <x:c r="K6" s="1"/>
    </x:row>
    <x:row r="7" ht="15" hidden="0" customHeight="1">
      <x:c r="A7" s="15" t="str">
        <x:v>Feb</x:v>
      </x:c>
      <x:c r="B7" s="16" t="n">
        <x:v>3150</x:v>
      </x:c>
      <x:c r="C7" s="16" t="n">
        <x:v>62</x:v>
      </x:c>
      <x:c r="D7" s="16" t="n">
        <x:v>1900</x:v>
      </x:c>
      <x:c r="E7" s="16" t="n">
        <x:v>55</x:v>
      </x:c>
      <x:c r="F7" s="16" t="n">
        <x:f>IFERROR(B7*C7+D7*E7,"")</x:f>
        <x:v>299800</x:v>
      </x:c>
      <x:c r="G7" s="16" t="n">
        <x:f>IFERROR(D7*E7/F7,"")</x:f>
        <x:v>0.3485657104736491</x:v>
      </x:c>
      <x:c r="H7" s="15" t="str"/>
      <x:c r="I7" s="1"/>
      <x:c r="J7" s="1"/>
      <x:c r="K7" s="1"/>
    </x:row>
    <x:row r="8" ht="15" hidden="0" customHeight="1">
      <x:c r="A8" s="15" t="str">
        <x:v>Mar</x:v>
      </x:c>
      <x:c r="B8" s="16" t="n">
        <x:v>3250</x:v>
      </x:c>
      <x:c r="C8" s="16" t="n">
        <x:v>63</x:v>
      </x:c>
      <x:c r="D8" s="16" t="n">
        <x:v>2000</x:v>
      </x:c>
      <x:c r="E8" s="16" t="n">
        <x:v>56</x:v>
      </x:c>
      <x:c r="F8" s="16" t="n">
        <x:f>IFERROR(B8*C8+D8*E8,"")</x:f>
        <x:v>316750</x:v>
      </x:c>
      <x:c r="G8" s="16" t="n">
        <x:f>IFERROR(D8*E8/F8,"")</x:f>
        <x:v>0.35359116022099446</x:v>
      </x:c>
      <x:c r="H8" s="15" t="str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 t="n">
        <x:f>IFERROR(B9*C9+D9*E9,"")</x:f>
        <x:v>0</x:v>
      </x:c>
      <x:c r="G9" s="16" t="str">
        <x:f>IFERROR(D9*E9/F9,"")</x:f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 t="n">
        <x:f>IFERROR(B10*C10+D10*E10,"")</x:f>
        <x:v>0</x:v>
      </x:c>
      <x:c r="G10" s="16" t="str">
        <x:f>IFERROR(D10*E10/F10,"")</x:f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 t="n">
        <x:f>IFERROR(B11*C11+D11*E11,"")</x:f>
        <x:v>0</x:v>
      </x:c>
      <x:c r="G11" s="16" t="str">
        <x:f>IFERROR(D11*E11/F11,"")</x:f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 t="n">
        <x:f>IFERROR(B12*C12+D12*E12,"")</x:f>
        <x:v>0</x:v>
      </x:c>
      <x:c r="G12" s="16" t="str">
        <x:f>IFERROR(D12*E12/F12,"")</x:f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 t="n">
        <x:f>IFERROR(B13*C13+D13*E13,"")</x:f>
        <x:v>0</x:v>
      </x:c>
      <x:c r="G13" s="16" t="str">
        <x:f>IFERROR(D13*E13/F13,"")</x:f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 t="n">
        <x:f>IFERROR(B14*C14+D14*E14,"")</x:f>
        <x:v>0</x:v>
      </x:c>
      <x:c r="G14" s="16" t="str">
        <x:f>IFERROR(D14*E14/F14,"")</x:f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 t="n">
        <x:f>IFERROR(B15*C15+D15*E15,"")</x:f>
        <x:v>0</x:v>
      </x:c>
      <x:c r="G15" s="16" t="str">
        <x:f>IFERROR(D15*E15/F15,"")</x:f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 t="n">
        <x:f>IFERROR(B16*C16+D16*E16,"")</x:f>
        <x:v>0</x:v>
      </x:c>
      <x:c r="G16" s="16" t="str">
        <x:f>IFERROR(D16*E16/F16,"")</x:f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 t="n">
        <x:f>IFERROR(B17*C17+D17*E17,"")</x:f>
        <x:v>0</x:v>
      </x:c>
      <x:c r="G17" s="16" t="str">
        <x:f>IFERROR(D17*E17/F17,"")</x:f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 t="n">
        <x:f>IFERROR(B18*C18+D18*E18,"")</x:f>
        <x:v>0</x:v>
      </x:c>
      <x:c r="G18" s="16" t="str">
        <x:f>IFERROR(D18*E18/F18,"")</x:f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 t="n">
        <x:f>IFERROR(B19*C19+D19*E19,"")</x:f>
        <x:v>0</x:v>
      </x:c>
      <x:c r="G19" s="16" t="str">
        <x:f>IFERROR(D19*E19/F19,"")</x:f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 t="n">
        <x:f>IFERROR(B20*C20+D20*E20,"")</x:f>
        <x:v>0</x:v>
      </x:c>
      <x:c r="G20" s="16" t="str">
        <x:f>IFERROR(D20*E20/F20,"")</x:f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 t="n">
        <x:f>IFERROR(B21*C21+D21*E21,"")</x:f>
        <x:v>0</x:v>
      </x:c>
      <x:c r="G21" s="16" t="str">
        <x:f>IFERROR(D21*E21/F21,"")</x:f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 t="n">
        <x:f>IFERROR(B22*C22+D22*E22,"")</x:f>
        <x:v>0</x:v>
      </x:c>
      <x:c r="G22" s="16" t="str">
        <x:f>IFERROR(D22*E22/F22,"")</x:f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 t="n">
        <x:f>IFERROR(B23*C23+D23*E23,"")</x:f>
        <x:v>0</x:v>
      </x:c>
      <x:c r="G23" s="16" t="str">
        <x:f>IFERROR(D23*E23/F23,"")</x:f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 t="n">
        <x:f>IFERROR(B24*C24+D24*E24,"")</x:f>
        <x:v>0</x:v>
      </x:c>
      <x:c r="G24" s="16" t="str">
        <x:f>IFERROR(D24*E24/F24,"")</x:f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 t="n">
        <x:f>IFERROR(B25*C25+D25*E25,"")</x:f>
        <x:v>0</x:v>
      </x:c>
      <x:c r="G25" s="16" t="str">
        <x:f>IFERROR(D25*E25/F25,"")</x:f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e75b4a86e0a94511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Revenue Forecast by Channel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aa032264d50b41ac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Revenue Forecast by Channel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fdd5ca7b074c463a"/>
</x:worksheet>
</file>