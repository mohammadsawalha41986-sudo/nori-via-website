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6f59b139f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08b89ccfab5a4323"/>
    <x:sheet xmlns:r="http://schemas.openxmlformats.org/officeDocument/2006/relationships" name="Summary" sheetId="2" r:id="Raba501ec28904b52"/>
    <x:sheet xmlns:r="http://schemas.openxmlformats.org/officeDocument/2006/relationships" name="Instructions" sheetId="3" r:id="Rc1a4158122204a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5d2f65c7e4883" /><Relationship Type="http://schemas.openxmlformats.org/officeDocument/2006/relationships/theme" Target="/xl/theme/theme1.xml" Id="R8070a1efd3994d8c" /><Relationship Type="http://schemas.openxmlformats.org/officeDocument/2006/relationships/sharedStrings" Target="/xl/sharedStrings.xml" Id="Rbabb8ac7daae4486" /><Relationship Type="http://schemas.openxmlformats.org/officeDocument/2006/relationships/worksheet" Target="/xl/worksheets/sheet1.xml" Id="R08b89ccfab5a4323" /><Relationship Type="http://schemas.openxmlformats.org/officeDocument/2006/relationships/worksheet" Target="/xl/worksheets/sheet2.xml" Id="Raba501ec28904b52" /><Relationship Type="http://schemas.openxmlformats.org/officeDocument/2006/relationships/worksheet" Target="/xl/worksheets/sheet3.xml" Id="Rc1a4158122204a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d7af855059b492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9cacdf852f3640c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fe776205572e4be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f0177599-62cc-472d-aef4-d38cc4178a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7af855059b49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414efeb4-01fd-4e48-8386-0855b426f3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acdf852f3640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c4db3095-cd85-41dd-9157-4544cba4df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776205572e4b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c72fbe5b504c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8fb3e7f3b6e47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a3fbd620e4e41b0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Expansion Feasibility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Scenario</x:v>
      </x:c>
      <x:c r="B5" s="8" t="str">
        <x:v>Investment</x:v>
      </x:c>
      <x:c r="C5" s="8" t="str">
        <x:v>Monthly revenue</x:v>
      </x:c>
      <x:c r="D5" s="8" t="str">
        <x:v>Contribution %</x:v>
      </x:c>
      <x:c r="E5" s="8" t="str">
        <x:v>Fixed costs</x:v>
      </x:c>
      <x:c r="F5" s="8" t="str">
        <x:v>Monthly profit</x:v>
      </x:c>
      <x:c r="G5" s="8" t="str">
        <x:v>Payback months</x:v>
      </x:c>
      <x:c r="H5" s="8" t="str">
        <x:v>Decision</x:v>
      </x:c>
      <x:c r="I5" s="1"/>
      <x:c r="J5" s="1"/>
      <x:c r="K5" s="1"/>
    </x:row>
    <x:row r="6" ht="15" hidden="0" customHeight="1">
      <x:c r="A6" s="15" t="str">
        <x:v>Base</x:v>
      </x:c>
      <x:c r="B6" s="16" t="n">
        <x:v>800000</x:v>
      </x:c>
      <x:c r="C6" s="16" t="n">
        <x:v>350000</x:v>
      </x:c>
      <x:c r="D6" s="16" t="n">
        <x:v>0.4</x:v>
      </x:c>
      <x:c r="E6" s="16" t="n">
        <x:f>IFERROR(C6*D6-E6,"")</x:f>
        <x:v>140000</x:v>
      </x:c>
      <x:c r="F6" s="16" t="n">
        <x:f>IFERROR(C6*D6-E6,"")</x:f>
        <x:v>0</x:v>
      </x:c>
      <x:c r="G6" s="16" t="str">
        <x:f>IFERROR(B6/F6,"")</x:f>
      </x:c>
      <x:c r="H6" s="15" t="str">
        <x:v>Review</x:v>
      </x:c>
      <x:c r="I6" s="1"/>
      <x:c r="J6" s="1"/>
      <x:c r="K6" s="1"/>
    </x:row>
    <x:row r="7" ht="15" hidden="0" customHeight="1">
      <x:c r="A7" s="15" t="str">
        <x:v>Downside</x:v>
      </x:c>
      <x:c r="B7" s="16" t="n">
        <x:v>800000</x:v>
      </x:c>
      <x:c r="C7" s="16" t="n">
        <x:v>280000</x:v>
      </x:c>
      <x:c r="D7" s="16" t="n">
        <x:v>0.38</x:v>
      </x:c>
      <x:c r="E7" s="16" t="n">
        <x:v>105000</x:v>
      </x:c>
      <x:c r="F7" s="16" t="n">
        <x:f>IFERROR(C7*D7-E7,"")</x:f>
        <x:v>1400</x:v>
      </x:c>
      <x:c r="G7" s="16" t="n">
        <x:f>IFERROR(B7/F7,"")</x:f>
        <x:v>571.4285714285714</x:v>
      </x:c>
      <x:c r="H7" s="15" t="str">
        <x:v>Review</x:v>
      </x:c>
      <x:c r="I7" s="1"/>
      <x:c r="J7" s="1"/>
      <x:c r="K7" s="1"/>
    </x:row>
    <x:row r="8" ht="15" hidden="0" customHeight="1">
      <x:c r="A8" s="15" t="str">
        <x:v>Upside</x:v>
      </x:c>
      <x:c r="B8" s="16" t="n">
        <x:v>850000</x:v>
      </x:c>
      <x:c r="C8" s="16" t="n">
        <x:v>420000</x:v>
      </x:c>
      <x:c r="D8" s="16" t="n">
        <x:v>0.42</x:v>
      </x:c>
      <x:c r="E8" s="16" t="n">
        <x:v>115000</x:v>
      </x:c>
      <x:c r="F8" s="16" t="n">
        <x:f>IFERROR(C8*D8-E8,"")</x:f>
        <x:v>61400</x:v>
      </x:c>
      <x:c r="G8" s="16" t="n">
        <x:f>IFERROR(B8/F8,"")</x:f>
        <x:v>13.843648208469055</x:v>
      </x:c>
      <x:c r="H8" s="15" t="str">
        <x:v>Review</x:v>
      </x:c>
      <x:c r="I8" s="1"/>
      <x:c r="J8" s="1"/>
      <x:c r="K8" s="1"/>
    </x:row>
    <x:row r="9" ht="15" hidden="0" customHeight="1">
      <x:c r="A9" s="15"/>
      <x:c r="B9" s="16"/>
      <x:c r="C9" s="16"/>
      <x:c r="D9" s="16"/>
      <x:c r="E9" s="16"/>
      <x:c r="F9" s="16" t="n">
        <x:f>IFERROR(C9*D9-E9,"")</x:f>
        <x:v>0</x:v>
      </x:c>
      <x:c r="G9" s="16" t="str">
        <x:f>IFERROR(B9/F9,"")</x:f>
      </x:c>
      <x:c r="H9" s="15"/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/>
      <x:c r="F10" s="16" t="n">
        <x:f>IFERROR(C10*D10-E10,"")</x:f>
        <x:v>0</x:v>
      </x:c>
      <x:c r="G10" s="16" t="str">
        <x:f>IFERROR(B10/F10,"")</x:f>
      </x:c>
      <x:c r="H10" s="15"/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/>
      <x:c r="F11" s="16" t="n">
        <x:f>IFERROR(C11*D11-E11,"")</x:f>
        <x:v>0</x:v>
      </x:c>
      <x:c r="G11" s="16" t="str">
        <x:f>IFERROR(B11/F11,"")</x:f>
      </x:c>
      <x:c r="H11" s="15"/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/>
      <x:c r="F12" s="16" t="n">
        <x:f>IFERROR(C12*D12-E12,"")</x:f>
        <x:v>0</x:v>
      </x:c>
      <x:c r="G12" s="16" t="str">
        <x:f>IFERROR(B12/F12,"")</x:f>
      </x:c>
      <x:c r="H12" s="15"/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/>
      <x:c r="F13" s="16" t="n">
        <x:f>IFERROR(C13*D13-E13,"")</x:f>
        <x:v>0</x:v>
      </x:c>
      <x:c r="G13" s="16" t="str">
        <x:f>IFERROR(B13/F13,"")</x:f>
      </x:c>
      <x:c r="H13" s="15"/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/>
      <x:c r="F14" s="16" t="n">
        <x:f>IFERROR(C14*D14-E14,"")</x:f>
        <x:v>0</x:v>
      </x:c>
      <x:c r="G14" s="16" t="str">
        <x:f>IFERROR(B14/F14,"")</x:f>
      </x:c>
      <x:c r="H14" s="15"/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/>
      <x:c r="F15" s="16" t="n">
        <x:f>IFERROR(C15*D15-E15,"")</x:f>
        <x:v>0</x:v>
      </x:c>
      <x:c r="G15" s="16" t="str">
        <x:f>IFERROR(B15/F15,"")</x:f>
      </x:c>
      <x:c r="H15" s="15"/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/>
      <x:c r="F16" s="16" t="n">
        <x:f>IFERROR(C16*D16-E16,"")</x:f>
        <x:v>0</x:v>
      </x:c>
      <x:c r="G16" s="16" t="str">
        <x:f>IFERROR(B16/F16,"")</x:f>
      </x:c>
      <x:c r="H16" s="15"/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/>
      <x:c r="F17" s="16" t="n">
        <x:f>IFERROR(C17*D17-E17,"")</x:f>
        <x:v>0</x:v>
      </x:c>
      <x:c r="G17" s="16" t="str">
        <x:f>IFERROR(B17/F17,"")</x:f>
      </x:c>
      <x:c r="H17" s="15"/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/>
      <x:c r="F18" s="16" t="n">
        <x:f>IFERROR(C18*D18-E18,"")</x:f>
        <x:v>0</x:v>
      </x:c>
      <x:c r="G18" s="16" t="str">
        <x:f>IFERROR(B18/F18,"")</x:f>
      </x:c>
      <x:c r="H18" s="15"/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/>
      <x:c r="F19" s="16" t="n">
        <x:f>IFERROR(C19*D19-E19,"")</x:f>
        <x:v>0</x:v>
      </x:c>
      <x:c r="G19" s="16" t="str">
        <x:f>IFERROR(B19/F19,"")</x:f>
      </x:c>
      <x:c r="H19" s="15"/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/>
      <x:c r="F20" s="16" t="n">
        <x:f>IFERROR(C20*D20-E20,"")</x:f>
        <x:v>0</x:v>
      </x:c>
      <x:c r="G20" s="16" t="str">
        <x:f>IFERROR(B20/F20,"")</x:f>
      </x:c>
      <x:c r="H20" s="15"/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/>
      <x:c r="F21" s="16" t="n">
        <x:f>IFERROR(C21*D21-E21,"")</x:f>
        <x:v>0</x:v>
      </x:c>
      <x:c r="G21" s="16" t="str">
        <x:f>IFERROR(B21/F21,"")</x:f>
      </x:c>
      <x:c r="H21" s="15"/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/>
      <x:c r="F22" s="16" t="n">
        <x:f>IFERROR(C22*D22-E22,"")</x:f>
        <x:v>0</x:v>
      </x:c>
      <x:c r="G22" s="16" t="str">
        <x:f>IFERROR(B22/F22,"")</x:f>
      </x:c>
      <x:c r="H22" s="15"/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/>
      <x:c r="F23" s="16" t="n">
        <x:f>IFERROR(C23*D23-E23,"")</x:f>
        <x:v>0</x:v>
      </x:c>
      <x:c r="G23" s="16" t="str">
        <x:f>IFERROR(B23/F23,"")</x:f>
      </x:c>
      <x:c r="H23" s="15"/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/>
      <x:c r="F24" s="16" t="n">
        <x:f>IFERROR(C24*D24-E24,"")</x:f>
        <x:v>0</x:v>
      </x:c>
      <x:c r="G24" s="16" t="str">
        <x:f>IFERROR(B24/F24,"")</x:f>
      </x:c>
      <x:c r="H24" s="15"/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/>
      <x:c r="F25" s="16" t="n">
        <x:f>IFERROR(C25*D25-E25,"")</x:f>
        <x:v>0</x:v>
      </x:c>
      <x:c r="G25" s="16" t="str">
        <x:f>IFERROR(B25/F25,"")</x:f>
      </x:c>
      <x:c r="H25" s="15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82c72fbe5b504cdd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Expansion Feasibility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19" t="str">
        <x:v>Rows entered</x:v>
      </x:c>
      <x:c r="B6" s="20" t="n">
        <x:f>COUNTA(Inputs!A6:A25)</x:f>
        <x:v>3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12"/>
      <x:c r="B7" s="12"/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38fb3e7f3b6e47a5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Expansion Feasibility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6" t="str">
        <x:v>How to use this workbook</x:v>
      </x:c>
      <x:c r="B5" s="26"/>
      <x:c r="C5" s="26"/>
      <x:c r="D5" s="26"/>
      <x:c r="E5" s="26"/>
      <x:c r="F5" s="26"/>
      <x:c r="G5" s="26"/>
      <x:c r="H5" s="26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27" t="n">
        <x:v>1</x:v>
      </x:c>
      <x:c r="B7" s="28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27" t="n">
        <x:v>2</x:v>
      </x:c>
      <x:c r="B8" s="28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27" t="n">
        <x:v>3</x:v>
      </x:c>
      <x:c r="B9" s="28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27" t="n">
        <x:v>4</x:v>
      </x:c>
      <x:c r="B10" s="28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7a3fbd620e4e41b0"/>
</x:worksheet>
</file>