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c3c604c17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a5483940a1f4d73"/>
    <x:sheet xmlns:r="http://schemas.openxmlformats.org/officeDocument/2006/relationships" name="Summary" sheetId="2" r:id="Rb9f3d3671ef84f17"/>
    <x:sheet xmlns:r="http://schemas.openxmlformats.org/officeDocument/2006/relationships" name="Instructions" sheetId="3" r:id="Rc25f008803f7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5fe48dce442d1" /><Relationship Type="http://schemas.openxmlformats.org/officeDocument/2006/relationships/theme" Target="/xl/theme/theme1.xml" Id="Re0ca23f23ad5483a" /><Relationship Type="http://schemas.openxmlformats.org/officeDocument/2006/relationships/sharedStrings" Target="/xl/sharedStrings.xml" Id="Rffc1c07fcb004417" /><Relationship Type="http://schemas.openxmlformats.org/officeDocument/2006/relationships/worksheet" Target="/xl/worksheets/sheet1.xml" Id="Rca5483940a1f4d73" /><Relationship Type="http://schemas.openxmlformats.org/officeDocument/2006/relationships/worksheet" Target="/xl/worksheets/sheet2.xml" Id="Rb9f3d3671ef84f17" /><Relationship Type="http://schemas.openxmlformats.org/officeDocument/2006/relationships/worksheet" Target="/xl/worksheets/sheet3.xml" Id="Rc25f008803f743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c7a4089ca704cf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890698121d0e425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c1ba59815dfb4c2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fd067ed-bcfe-4381-b202-0f6aead9bf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7a4089ca704c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91ea9f3-24c3-44c1-9a11-baf69bf948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0698121d0e42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124f38bf-08c9-41f5-bb75-d2782a8095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ba59815dfb4c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ecb07cd57846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8a97519ec1844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3cb12e5e2eb64e24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Sales Forecast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Month</x:v>
      </x:c>
      <x:c r="B5" s="8" t="str">
        <x:v>Covers</x:v>
      </x:c>
      <x:c r="C5" s="8" t="str">
        <x:v>Average check (SAR)</x:v>
      </x:c>
      <x:c r="D5" s="8" t="str">
        <x:v>Revenue (SAR)</x:v>
      </x:c>
      <x:c r="E5" s="8" t="str">
        <x:v>Growth assumption</x:v>
      </x:c>
      <x:c r="F5" s="8" t="str">
        <x:v>Forecast revenue</x:v>
      </x:c>
      <x:c r="G5" s="8" t="str">
        <x:v>Notes</x:v>
      </x:c>
      <x:c r="H5" s="8" t="str">
        <x:v>Owner</x:v>
      </x:c>
      <x:c r="I5" s="1"/>
      <x:c r="J5" s="1"/>
      <x:c r="K5" s="1"/>
    </x:row>
    <x:row r="6" ht="15" hidden="0" customHeight="1">
      <x:c r="A6" s="15" t="str">
        <x:v>Jan</x:v>
      </x:c>
      <x:c r="B6" s="16" t="n">
        <x:v>4500</x:v>
      </x:c>
      <x:c r="C6" s="16" t="n">
        <x:v>58</x:v>
      </x:c>
      <x:c r="D6" s="16" t="n">
        <x:f>IFERROR(B6*C6,"")</x:f>
        <x:v>261000</x:v>
      </x:c>
      <x:c r="E6" s="16" t="n">
        <x:f>IFERROR(B6*C6,"")</x:f>
        <x:v>261000</x:v>
      </x:c>
      <x:c r="F6" s="16" t="n">
        <x:f>IFERROR(D6*(1+E6),"")</x:f>
        <x:v>68121261000</x:v>
      </x:c>
      <x:c r="G6" s="16" t="str">
        <x:v>Editable assumptions</x:v>
      </x:c>
      <x:c r="H6" s="15" t="str">
        <x:v>Owner</x:v>
      </x:c>
      <x:c r="I6" s="1"/>
      <x:c r="J6" s="1"/>
      <x:c r="K6" s="1"/>
    </x:row>
    <x:row r="7" ht="15" hidden="0" customHeight="1">
      <x:c r="A7" s="15" t="str">
        <x:v>Feb</x:v>
      </x:c>
      <x:c r="B7" s="16" t="n">
        <x:v>4700</x:v>
      </x:c>
      <x:c r="C7" s="16" t="n">
        <x:v>58</x:v>
      </x:c>
      <x:c r="D7" s="16" t="n">
        <x:f>IFERROR(B7*C7,"")</x:f>
        <x:v>272600</x:v>
      </x:c>
      <x:c r="E7" s="16" t="n">
        <x:v>0.03</x:v>
      </x:c>
      <x:c r="F7" s="16" t="n">
        <x:f>IFERROR(D7*(1+E7),"")</x:f>
        <x:v>280778</x:v>
      </x:c>
      <x:c r="G7" s="16" t="str"/>
      <x:c r="H7" s="15" t="str"/>
      <x:c r="I7" s="1"/>
      <x:c r="J7" s="1"/>
      <x:c r="K7" s="1"/>
    </x:row>
    <x:row r="8" ht="15" hidden="0" customHeight="1">
      <x:c r="A8" s="15" t="str">
        <x:v>Mar</x:v>
      </x:c>
      <x:c r="B8" s="16" t="n">
        <x:v>4900</x:v>
      </x:c>
      <x:c r="C8" s="16" t="n">
        <x:v>59</x:v>
      </x:c>
      <x:c r="D8" s="16" t="n">
        <x:f>IFERROR(B8*C8,"")</x:f>
        <x:v>289100</x:v>
      </x:c>
      <x:c r="E8" s="16" t="n">
        <x:v>0.03</x:v>
      </x:c>
      <x:c r="F8" s="16" t="n">
        <x:f>IFERROR(D8*(1+E8),"")</x:f>
        <x:v>297773</x:v>
      </x:c>
      <x:c r="G8" s="16" t="str"/>
      <x:c r="H8" s="15" t="str"/>
      <x:c r="I8" s="1"/>
      <x:c r="J8" s="1"/>
      <x:c r="K8" s="1"/>
    </x:row>
    <x:row r="9" ht="15" hidden="0" customHeight="1">
      <x:c r="A9" s="15"/>
      <x:c r="B9" s="16"/>
      <x:c r="C9" s="16"/>
      <x:c r="D9" s="16" t="n">
        <x:f>IFERROR(B9*C9,"")</x:f>
        <x:v>0</x:v>
      </x:c>
      <x:c r="E9" s="16"/>
      <x:c r="F9" s="16" t="n">
        <x:f>IFERROR(D9*(1+E9),"")</x:f>
        <x:v>0</x:v>
      </x:c>
      <x:c r="G9" s="16"/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 t="n">
        <x:f>IFERROR(B10*C10,"")</x:f>
        <x:v>0</x:v>
      </x:c>
      <x:c r="E10" s="16"/>
      <x:c r="F10" s="16" t="n">
        <x:f>IFERROR(D10*(1+E10),"")</x:f>
        <x:v>0</x:v>
      </x:c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 t="n">
        <x:f>IFERROR(B11*C11,"")</x:f>
        <x:v>0</x:v>
      </x:c>
      <x:c r="E11" s="16"/>
      <x:c r="F11" s="16" t="n">
        <x:f>IFERROR(D11*(1+E11),"")</x:f>
        <x:v>0</x:v>
      </x:c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 t="n">
        <x:f>IFERROR(B12*C12,"")</x:f>
        <x:v>0</x:v>
      </x:c>
      <x:c r="E12" s="16"/>
      <x:c r="F12" s="16" t="n">
        <x:f>IFERROR(D12*(1+E12),"")</x:f>
        <x:v>0</x:v>
      </x:c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 t="n">
        <x:f>IFERROR(B13*C13,"")</x:f>
        <x:v>0</x:v>
      </x:c>
      <x:c r="E13" s="16"/>
      <x:c r="F13" s="16" t="n">
        <x:f>IFERROR(D13*(1+E13),"")</x:f>
        <x:v>0</x:v>
      </x:c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 t="n">
        <x:f>IFERROR(B14*C14,"")</x:f>
        <x:v>0</x:v>
      </x:c>
      <x:c r="E14" s="16"/>
      <x:c r="F14" s="16" t="n">
        <x:f>IFERROR(D14*(1+E14),"")</x:f>
        <x:v>0</x:v>
      </x:c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 t="n">
        <x:f>IFERROR(B15*C15,"")</x:f>
        <x:v>0</x:v>
      </x:c>
      <x:c r="E15" s="16"/>
      <x:c r="F15" s="16" t="n">
        <x:f>IFERROR(D15*(1+E15),"")</x:f>
        <x:v>0</x:v>
      </x:c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 t="n">
        <x:f>IFERROR(B16*C16,"")</x:f>
        <x:v>0</x:v>
      </x:c>
      <x:c r="E16" s="16"/>
      <x:c r="F16" s="16" t="n">
        <x:f>IFERROR(D16*(1+E16),"")</x:f>
        <x:v>0</x:v>
      </x:c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 t="n">
        <x:f>IFERROR(B17*C17,"")</x:f>
        <x:v>0</x:v>
      </x:c>
      <x:c r="E17" s="16"/>
      <x:c r="F17" s="16" t="n">
        <x:f>IFERROR(D17*(1+E17),"")</x:f>
        <x:v>0</x:v>
      </x:c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 t="n">
        <x:f>IFERROR(B18*C18,"")</x:f>
        <x:v>0</x:v>
      </x:c>
      <x:c r="E18" s="16"/>
      <x:c r="F18" s="16" t="n">
        <x:f>IFERROR(D18*(1+E18),"")</x:f>
        <x:v>0</x:v>
      </x:c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 t="n">
        <x:f>IFERROR(B19*C19,"")</x:f>
        <x:v>0</x:v>
      </x:c>
      <x:c r="E19" s="16"/>
      <x:c r="F19" s="16" t="n">
        <x:f>IFERROR(D19*(1+E19),"")</x:f>
        <x:v>0</x:v>
      </x:c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 t="n">
        <x:f>IFERROR(B20*C20,"")</x:f>
        <x:v>0</x:v>
      </x:c>
      <x:c r="E20" s="16"/>
      <x:c r="F20" s="16" t="n">
        <x:f>IFERROR(D20*(1+E20),"")</x:f>
        <x:v>0</x:v>
      </x:c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 t="n">
        <x:f>IFERROR(B21*C21,"")</x:f>
        <x:v>0</x:v>
      </x:c>
      <x:c r="E21" s="16"/>
      <x:c r="F21" s="16" t="n">
        <x:f>IFERROR(D21*(1+E21),"")</x:f>
        <x:v>0</x:v>
      </x:c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 t="n">
        <x:f>IFERROR(B22*C22,"")</x:f>
        <x:v>0</x:v>
      </x:c>
      <x:c r="E22" s="16"/>
      <x:c r="F22" s="16" t="n">
        <x:f>IFERROR(D22*(1+E22),"")</x:f>
        <x:v>0</x:v>
      </x:c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 t="n">
        <x:f>IFERROR(B23*C23,"")</x:f>
        <x:v>0</x:v>
      </x:c>
      <x:c r="E23" s="16"/>
      <x:c r="F23" s="16" t="n">
        <x:f>IFERROR(D23*(1+E23),"")</x:f>
        <x:v>0</x:v>
      </x:c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 t="n">
        <x:f>IFERROR(B24*C24,"")</x:f>
        <x:v>0</x:v>
      </x:c>
      <x:c r="E24" s="16"/>
      <x:c r="F24" s="16" t="n">
        <x:f>IFERROR(D24*(1+E24),"")</x:f>
        <x:v>0</x:v>
      </x:c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 t="n">
        <x:f>IFERROR(B25*C25,"")</x:f>
        <x:v>0</x:v>
      </x:c>
      <x:c r="E25" s="16"/>
      <x:c r="F25" s="16" t="n">
        <x:f>IFERROR(D25*(1+E25),"")</x:f>
        <x:v>0</x:v>
      </x:c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94ecb07cd5784651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Restaurant Sales Forecast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c8a97519ec1844de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Restaurant Sales Forecast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3cb12e5e2eb64e24"/>
</x:worksheet>
</file>