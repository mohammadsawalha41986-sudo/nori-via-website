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b1c4a7ebb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e34161ac94a4cda"/>
    <x:sheet xmlns:r="http://schemas.openxmlformats.org/officeDocument/2006/relationships" name="Summary" sheetId="2" r:id="Reee8d04c59ed4b76"/>
    <x:sheet xmlns:r="http://schemas.openxmlformats.org/officeDocument/2006/relationships" name="Instructions" sheetId="3" r:id="R93fb0a6caac5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031072cfe4e3d" /><Relationship Type="http://schemas.openxmlformats.org/officeDocument/2006/relationships/theme" Target="/xl/theme/theme1.xml" Id="Rd5d1d47050914d21" /><Relationship Type="http://schemas.openxmlformats.org/officeDocument/2006/relationships/sharedStrings" Target="/xl/sharedStrings.xml" Id="R47955153b6664e65" /><Relationship Type="http://schemas.openxmlformats.org/officeDocument/2006/relationships/worksheet" Target="/xl/worksheets/sheet1.xml" Id="Rce34161ac94a4cda" /><Relationship Type="http://schemas.openxmlformats.org/officeDocument/2006/relationships/worksheet" Target="/xl/worksheets/sheet2.xml" Id="Reee8d04c59ed4b76" /><Relationship Type="http://schemas.openxmlformats.org/officeDocument/2006/relationships/worksheet" Target="/xl/worksheets/sheet3.xml" Id="R93fb0a6caac54f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b1343e0cfc74d9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57dfd21996104be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218ffb5de5334ce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d1bd6ac4-e660-4d95-a38d-9de6f85468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1343e0cfc74d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09a8284b-c739-427e-bd30-7b9b1fbaf6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dfd21996104b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6cc6b70-9752-401d-bf5b-fd98d96fbc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8ffb5de5334c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3f62f5bf8d46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a0fdc1b545544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2c192a273844952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Food Cost Calculator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Menu item</x:v>
      </x:c>
      <x:c r="B5" s="8" t="str">
        <x:v>Selling price</x:v>
      </x:c>
      <x:c r="C5" s="8" t="str">
        <x:v>Ingredient cost</x:v>
      </x:c>
      <x:c r="D5" s="8" t="str">
        <x:v>Packaging</x:v>
      </x:c>
      <x:c r="E5" s="8" t="str">
        <x:v>Total direct cost</x:v>
      </x:c>
      <x:c r="F5" s="8" t="str">
        <x:v>Food cost %</x:v>
      </x:c>
      <x:c r="G5" s="8" t="str">
        <x:v>Gross profit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Signature item</x:v>
      </x:c>
      <x:c r="B6" s="16" t="n">
        <x:v>48</x:v>
      </x:c>
      <x:c r="C6" s="16" t="n">
        <x:v>13.5</x:v>
      </x:c>
      <x:c r="D6" s="16" t="n">
        <x:v>1.5</x:v>
      </x:c>
      <x:c r="E6" s="16" t="n">
        <x:f>IFERROR(C6+D6,"")</x:f>
        <x:v>15</x:v>
      </x:c>
      <x:c r="F6" s="16" t="n">
        <x:f>IFERROR(E6/B6,"")</x:f>
        <x:v>0.3125</x:v>
      </x:c>
      <x:c r="G6" s="16" t="n">
        <x:f>IFERROR(B6-E6,"")</x:f>
        <x:v>33</x:v>
      </x:c>
      <x:c r="H6" s="15" t="str">
        <x:v>Replace sample values</x:v>
      </x:c>
      <x:c r="I6" s="1"/>
      <x:c r="J6" s="1"/>
      <x:c r="K6" s="1"/>
    </x:row>
    <x:row r="7" ht="15" hidden="0" customHeight="1">
      <x:c r="A7" s="15" t="str">
        <x:v>Core item</x:v>
      </x:c>
      <x:c r="B7" s="16" t="n">
        <x:v>36</x:v>
      </x:c>
      <x:c r="C7" s="16" t="n">
        <x:v>10</x:v>
      </x:c>
      <x:c r="D7" s="16" t="n">
        <x:v>1</x:v>
      </x:c>
      <x:c r="E7" s="16" t="n">
        <x:f>IFERROR(C7+D7,"")</x:f>
        <x:v>11</x:v>
      </x:c>
      <x:c r="F7" s="16" t="n">
        <x:f>IFERROR(E7/B7,"")</x:f>
        <x:v>0.3055555555555556</x:v>
      </x:c>
      <x:c r="G7" s="16" t="n">
        <x:f>IFERROR(B7-E7,"")</x:f>
        <x:v>25</x:v>
      </x:c>
      <x:c r="H7" s="15" t="str"/>
      <x:c r="I7" s="1"/>
      <x:c r="J7" s="1"/>
      <x:c r="K7" s="1"/>
    </x:row>
    <x:row r="8" ht="15" hidden="0" customHeight="1">
      <x:c r="A8" s="15" t="str">
        <x:v>Beverage</x:v>
      </x:c>
      <x:c r="B8" s="16" t="n">
        <x:v>18</x:v>
      </x:c>
      <x:c r="C8" s="16" t="n">
        <x:v>3.2</x:v>
      </x:c>
      <x:c r="D8" s="16" t="n">
        <x:v>0.5</x:v>
      </x:c>
      <x:c r="E8" s="16" t="n">
        <x:f>IFERROR(C8+D8,"")</x:f>
        <x:v>3.7</x:v>
      </x:c>
      <x:c r="F8" s="16" t="n">
        <x:f>IFERROR(E8/B8,"")</x:f>
        <x:v>0.20555555555555557</x:v>
      </x:c>
      <x:c r="G8" s="16" t="n">
        <x:f>IFERROR(B8-E8,"")</x:f>
        <x:v>14.3</x:v>
      </x:c>
      <x:c r="H8" s="15" t="str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 t="n">
        <x:f>IFERROR(C9+D9,"")</x:f>
        <x:v>0</x:v>
      </x:c>
      <x:c r="F9" s="16" t="str">
        <x:f>IFERROR(E9/B9,"")</x:f>
      </x:c>
      <x:c r="G9" s="16" t="n">
        <x:f>IFERROR(B9-E9,"")</x:f>
        <x:v>0</x:v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 t="n">
        <x:f>IFERROR(C10+D10,"")</x:f>
        <x:v>0</x:v>
      </x:c>
      <x:c r="F10" s="16" t="str">
        <x:f>IFERROR(E10/B10,"")</x:f>
      </x:c>
      <x:c r="G10" s="16" t="n">
        <x:f>IFERROR(B10-E10,"")</x:f>
        <x:v>0</x:v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 t="n">
        <x:f>IFERROR(C11+D11,"")</x:f>
        <x:v>0</x:v>
      </x:c>
      <x:c r="F11" s="16" t="str">
        <x:f>IFERROR(E11/B11,"")</x:f>
      </x:c>
      <x:c r="G11" s="16" t="n">
        <x:f>IFERROR(B11-E11,"")</x:f>
        <x:v>0</x:v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 t="n">
        <x:f>IFERROR(C12+D12,"")</x:f>
        <x:v>0</x:v>
      </x:c>
      <x:c r="F12" s="16" t="str">
        <x:f>IFERROR(E12/B12,"")</x:f>
      </x:c>
      <x:c r="G12" s="16" t="n">
        <x:f>IFERROR(B12-E12,"")</x:f>
        <x:v>0</x:v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 t="n">
        <x:f>IFERROR(C13+D13,"")</x:f>
        <x:v>0</x:v>
      </x:c>
      <x:c r="F13" s="16" t="str">
        <x:f>IFERROR(E13/B13,"")</x:f>
      </x:c>
      <x:c r="G13" s="16" t="n">
        <x:f>IFERROR(B13-E13,"")</x:f>
        <x:v>0</x:v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 t="n">
        <x:f>IFERROR(C14+D14,"")</x:f>
        <x:v>0</x:v>
      </x:c>
      <x:c r="F14" s="16" t="str">
        <x:f>IFERROR(E14/B14,"")</x:f>
      </x:c>
      <x:c r="G14" s="16" t="n">
        <x:f>IFERROR(B14-E14,"")</x:f>
        <x:v>0</x:v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 t="n">
        <x:f>IFERROR(C15+D15,"")</x:f>
        <x:v>0</x:v>
      </x:c>
      <x:c r="F15" s="16" t="str">
        <x:f>IFERROR(E15/B15,"")</x:f>
      </x:c>
      <x:c r="G15" s="16" t="n">
        <x:f>IFERROR(B15-E15,"")</x:f>
        <x:v>0</x:v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 t="n">
        <x:f>IFERROR(C16+D16,"")</x:f>
        <x:v>0</x:v>
      </x:c>
      <x:c r="F16" s="16" t="str">
        <x:f>IFERROR(E16/B16,"")</x:f>
      </x:c>
      <x:c r="G16" s="16" t="n">
        <x:f>IFERROR(B16-E16,"")</x:f>
        <x:v>0</x:v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 t="n">
        <x:f>IFERROR(C17+D17,"")</x:f>
        <x:v>0</x:v>
      </x:c>
      <x:c r="F17" s="16" t="str">
        <x:f>IFERROR(E17/B17,"")</x:f>
      </x:c>
      <x:c r="G17" s="16" t="n">
        <x:f>IFERROR(B17-E17,"")</x:f>
        <x:v>0</x:v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 t="n">
        <x:f>IFERROR(C18+D18,"")</x:f>
        <x:v>0</x:v>
      </x:c>
      <x:c r="F18" s="16" t="str">
        <x:f>IFERROR(E18/B18,"")</x:f>
      </x:c>
      <x:c r="G18" s="16" t="n">
        <x:f>IFERROR(B18-E18,"")</x:f>
        <x:v>0</x:v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 t="n">
        <x:f>IFERROR(C19+D19,"")</x:f>
        <x:v>0</x:v>
      </x:c>
      <x:c r="F19" s="16" t="str">
        <x:f>IFERROR(E19/B19,"")</x:f>
      </x:c>
      <x:c r="G19" s="16" t="n">
        <x:f>IFERROR(B19-E19,"")</x:f>
        <x:v>0</x:v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 t="n">
        <x:f>IFERROR(C20+D20,"")</x:f>
        <x:v>0</x:v>
      </x:c>
      <x:c r="F20" s="16" t="str">
        <x:f>IFERROR(E20/B20,"")</x:f>
      </x:c>
      <x:c r="G20" s="16" t="n">
        <x:f>IFERROR(B20-E20,"")</x:f>
        <x:v>0</x:v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 t="n">
        <x:f>IFERROR(C21+D21,"")</x:f>
        <x:v>0</x:v>
      </x:c>
      <x:c r="F21" s="16" t="str">
        <x:f>IFERROR(E21/B21,"")</x:f>
      </x:c>
      <x:c r="G21" s="16" t="n">
        <x:f>IFERROR(B21-E21,"")</x:f>
        <x:v>0</x:v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 t="n">
        <x:f>IFERROR(C22+D22,"")</x:f>
        <x:v>0</x:v>
      </x:c>
      <x:c r="F22" s="16" t="str">
        <x:f>IFERROR(E22/B22,"")</x:f>
      </x:c>
      <x:c r="G22" s="16" t="n">
        <x:f>IFERROR(B22-E22,"")</x:f>
        <x:v>0</x:v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 t="n">
        <x:f>IFERROR(C23+D23,"")</x:f>
        <x:v>0</x:v>
      </x:c>
      <x:c r="F23" s="16" t="str">
        <x:f>IFERROR(E23/B23,"")</x:f>
      </x:c>
      <x:c r="G23" s="16" t="n">
        <x:f>IFERROR(B23-E23,"")</x:f>
        <x:v>0</x:v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 t="n">
        <x:f>IFERROR(C24+D24,"")</x:f>
        <x:v>0</x:v>
      </x:c>
      <x:c r="F24" s="16" t="str">
        <x:f>IFERROR(E24/B24,"")</x:f>
      </x:c>
      <x:c r="G24" s="16" t="n">
        <x:f>IFERROR(B24-E24,"")</x:f>
        <x:v>0</x:v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 t="n">
        <x:f>IFERROR(C25+D25,"")</x:f>
        <x:v>0</x:v>
      </x:c>
      <x:c r="F25" s="16" t="str">
        <x:f>IFERROR(E25/B25,"")</x:f>
      </x:c>
      <x:c r="G25" s="16" t="n">
        <x:f>IFERROR(B25-E25,"")</x:f>
        <x:v>0</x:v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003f62f5bf8d46b8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Food Cost Calculator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21" t="str">
        <x:v>Rows entered</x:v>
      </x:c>
      <x:c r="B6" s="22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21" t="str">
        <x:v>Average contribution</x:v>
      </x:c>
      <x:c r="B7" s="23" t="n">
        <x:f>AVERAGE(Inputs!G6:G25)</x:f>
        <x:v>3.6149999999999998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ba0fdc1b5455446d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Food Cost Calculator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9" t="str">
        <x:v>How to use this workbook</x:v>
      </x:c>
      <x:c r="B5" s="29"/>
      <x:c r="C5" s="29"/>
      <x:c r="D5" s="29"/>
      <x:c r="E5" s="29"/>
      <x:c r="F5" s="29"/>
      <x:c r="G5" s="29"/>
      <x:c r="H5" s="29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30" t="n">
        <x:v>1</x:v>
      </x:c>
      <x:c r="B7" s="31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30" t="n">
        <x:v>2</x:v>
      </x:c>
      <x:c r="B8" s="31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30" t="n">
        <x:v>3</x:v>
      </x:c>
      <x:c r="B9" s="31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30" t="n">
        <x:v>4</x:v>
      </x:c>
      <x:c r="B10" s="31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02c192a273844952"/>
</x:worksheet>
</file>