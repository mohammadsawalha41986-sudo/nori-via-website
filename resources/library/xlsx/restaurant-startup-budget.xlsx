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8066b238b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9fea4f49ff14ed4"/>
    <x:sheet xmlns:r="http://schemas.openxmlformats.org/officeDocument/2006/relationships" name="Summary" sheetId="2" r:id="Rfda939bdd30c4d2f"/>
    <x:sheet xmlns:r="http://schemas.openxmlformats.org/officeDocument/2006/relationships" name="Instructions" sheetId="3" r:id="R3aa45ee3ebee4b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9b1433e274f0b" /><Relationship Type="http://schemas.openxmlformats.org/officeDocument/2006/relationships/theme" Target="/xl/theme/theme1.xml" Id="R60c5aa2e5aa84982" /><Relationship Type="http://schemas.openxmlformats.org/officeDocument/2006/relationships/sharedStrings" Target="/xl/sharedStrings.xml" Id="Re22dcbe12cb54d6b" /><Relationship Type="http://schemas.openxmlformats.org/officeDocument/2006/relationships/worksheet" Target="/xl/worksheets/sheet1.xml" Id="Ra9fea4f49ff14ed4" /><Relationship Type="http://schemas.openxmlformats.org/officeDocument/2006/relationships/worksheet" Target="/xl/worksheets/sheet2.xml" Id="Rfda939bdd30c4d2f" /><Relationship Type="http://schemas.openxmlformats.org/officeDocument/2006/relationships/worksheet" Target="/xl/worksheets/sheet3.xml" Id="R3aa45ee3ebee4b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a54198686624d5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c849b11e3ec44a5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5be38697463b4a6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9d82b655-e78e-46a8-95c4-a42bd85853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54198686624d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5bf7b534-66fb-4d6d-93f0-070209cd72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49b11e3ec44a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e60c1205-0941-4963-a2dd-2fca903d09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e38697463b4a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a237b891e645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a906c53d6504d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3cfc71173f7d476b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Restaurant Startup Budget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Category</x:v>
      </x:c>
      <x:c r="B5" s="8" t="str">
        <x:v>Item</x:v>
      </x:c>
      <x:c r="C5" s="8" t="str">
        <x:v>Quantity</x:v>
      </x:c>
      <x:c r="D5" s="8" t="str">
        <x:v>Unit cost (SAR)</x:v>
      </x:c>
      <x:c r="E5" s="8" t="str">
        <x:v>Total (SAR)</x:v>
      </x:c>
      <x:c r="F5" s="8" t="str">
        <x:v>Timing</x:v>
      </x:c>
      <x:c r="G5" s="8" t="str">
        <x:v>Owner</x:v>
      </x:c>
      <x:c r="H5" s="8" t="str">
        <x:v>Notes</x:v>
      </x:c>
      <x:c r="I5" s="1"/>
      <x:c r="J5" s="1"/>
      <x:c r="K5" s="1"/>
    </x:row>
    <x:row r="6" ht="15" hidden="0" customHeight="1">
      <x:c r="A6" s="15" t="str">
        <x:v>Fit-out</x:v>
      </x:c>
      <x:c r="B6" s="16" t="str">
        <x:v>Construction</x:v>
      </x:c>
      <x:c r="C6" s="16" t="n">
        <x:v>1</x:v>
      </x:c>
      <x:c r="D6" s="16" t="n">
        <x:v>250000</x:v>
      </x:c>
      <x:c r="E6" s="16" t="n">
        <x:f>IFERROR(C6*D6,"")</x:f>
        <x:v>250000</x:v>
      </x:c>
      <x:c r="F6" s="16" t="str">
        <x:v>Before opening</x:v>
      </x:c>
      <x:c r="G6" s="16" t="str">
        <x:v>Owner</x:v>
      </x:c>
      <x:c r="H6" s="15" t="str">
        <x:v>Replace with quotes</x:v>
      </x:c>
      <x:c r="I6" s="1"/>
      <x:c r="J6" s="1"/>
      <x:c r="K6" s="1"/>
    </x:row>
    <x:row r="7" ht="15" hidden="0" customHeight="1">
      <x:c r="A7" s="15" t="str">
        <x:v>Kitchen</x:v>
      </x:c>
      <x:c r="B7" s="16" t="str">
        <x:v>Cooking equipment</x:v>
      </x:c>
      <x:c r="C7" s="16" t="n">
        <x:v>1</x:v>
      </x:c>
      <x:c r="D7" s="16" t="n">
        <x:v>180000</x:v>
      </x:c>
      <x:c r="E7" s="16" t="n">
        <x:f>IFERROR(C7*D7,"")</x:f>
        <x:v>180000</x:v>
      </x:c>
      <x:c r="F7" s="16" t="str">
        <x:v>Before opening</x:v>
      </x:c>
      <x:c r="G7" s="16" t="str">
        <x:v>Operations</x:v>
      </x:c>
      <x:c r="H7" s="15" t="str">
        <x:v>Separate supply and installation</x:v>
      </x:c>
      <x:c r="I7" s="1"/>
      <x:c r="J7" s="1"/>
      <x:c r="K7" s="1"/>
    </x:row>
    <x:row r="8" ht="15" hidden="0" customHeight="1">
      <x:c r="A8" s="15" t="str">
        <x:v>Technology</x:v>
      </x:c>
      <x:c r="B8" s="16" t="str">
        <x:v>POS and network</x:v>
      </x:c>
      <x:c r="C8" s="16" t="n">
        <x:v>1</x:v>
      </x:c>
      <x:c r="D8" s="16" t="n">
        <x:v>30000</x:v>
      </x:c>
      <x:c r="E8" s="16" t="n">
        <x:f>IFERROR(C8*D8,"")</x:f>
        <x:v>30000</x:v>
      </x:c>
      <x:c r="F8" s="16" t="str">
        <x:v>Before opening</x:v>
      </x:c>
      <x:c r="G8" s="16" t="str">
        <x:v>Finance</x:v>
      </x:c>
      <x:c r="H8" s="15" t="str">
        <x:v>Include licences</x:v>
      </x:c>
      <x:c r="I8" s="1"/>
      <x:c r="J8" s="1"/>
      <x:c r="K8" s="1"/>
    </x:row>
    <x:row r="9" ht="15" hidden="0" customHeight="1">
      <x:c r="A9" s="15" t="str">
        <x:v>Working capital</x:v>
      </x:c>
      <x:c r="B9" s="16" t="str">
        <x:v>Opening reserve</x:v>
      </x:c>
      <x:c r="C9" s="16" t="n">
        <x:v>1</x:v>
      </x:c>
      <x:c r="D9" s="16" t="n">
        <x:v>150000</x:v>
      </x:c>
      <x:c r="E9" s="16" t="n">
        <x:f>IFERROR(C9*D9,"")</x:f>
        <x:v>150000</x:v>
      </x:c>
      <x:c r="F9" s="16" t="str">
        <x:v>Opening</x:v>
      </x:c>
      <x:c r="G9" s="16" t="str">
        <x:v>Owner</x:v>
      </x:c>
      <x:c r="H9" s="15" t="str">
        <x:v>Set from cash-flow need</x:v>
      </x:c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 t="n">
        <x:f>IFERROR(C10*D10,"")</x:f>
        <x:v>0</x:v>
      </x:c>
      <x:c r="F10" s="16"/>
      <x:c r="G10" s="16"/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 t="n">
        <x:f>IFERROR(C11*D11,"")</x:f>
        <x:v>0</x:v>
      </x:c>
      <x:c r="F11" s="16"/>
      <x:c r="G11" s="16"/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 t="n">
        <x:f>IFERROR(C12*D12,"")</x:f>
        <x:v>0</x:v>
      </x:c>
      <x:c r="F12" s="16"/>
      <x:c r="G12" s="16"/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 t="n">
        <x:f>IFERROR(C13*D13,"")</x:f>
        <x:v>0</x:v>
      </x:c>
      <x:c r="F13" s="16"/>
      <x:c r="G13" s="16"/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 t="n">
        <x:f>IFERROR(C14*D14,"")</x:f>
        <x:v>0</x:v>
      </x:c>
      <x:c r="F14" s="16"/>
      <x:c r="G14" s="16"/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 t="n">
        <x:f>IFERROR(C15*D15,"")</x:f>
        <x:v>0</x:v>
      </x:c>
      <x:c r="F15" s="16"/>
      <x:c r="G15" s="16"/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 t="n">
        <x:f>IFERROR(C16*D16,"")</x:f>
        <x:v>0</x:v>
      </x:c>
      <x:c r="F16" s="16"/>
      <x:c r="G16" s="16"/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 t="n">
        <x:f>IFERROR(C17*D17,"")</x:f>
        <x:v>0</x:v>
      </x:c>
      <x:c r="F17" s="16"/>
      <x:c r="G17" s="16"/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 t="n">
        <x:f>IFERROR(C18*D18,"")</x:f>
        <x:v>0</x:v>
      </x:c>
      <x:c r="F18" s="16"/>
      <x:c r="G18" s="16"/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 t="n">
        <x:f>IFERROR(C19*D19,"")</x:f>
        <x:v>0</x:v>
      </x:c>
      <x:c r="F19" s="16"/>
      <x:c r="G19" s="16"/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 t="n">
        <x:f>IFERROR(C20*D20,"")</x:f>
        <x:v>0</x:v>
      </x:c>
      <x:c r="F20" s="16"/>
      <x:c r="G20" s="16"/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 t="n">
        <x:f>IFERROR(C21*D21,"")</x:f>
        <x:v>0</x:v>
      </x:c>
      <x:c r="F21" s="16"/>
      <x:c r="G21" s="16"/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 t="n">
        <x:f>IFERROR(C22*D22,"")</x:f>
        <x:v>0</x:v>
      </x:c>
      <x:c r="F22" s="16"/>
      <x:c r="G22" s="16"/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 t="n">
        <x:f>IFERROR(C23*D23,"")</x:f>
        <x:v>0</x:v>
      </x:c>
      <x:c r="F23" s="16"/>
      <x:c r="G23" s="16"/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 t="n">
        <x:f>IFERROR(C24*D24,"")</x:f>
        <x:v>0</x:v>
      </x:c>
      <x:c r="F24" s="16"/>
      <x:c r="G24" s="16"/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 t="n">
        <x:f>IFERROR(C25*D25,"")</x:f>
        <x:v>0</x:v>
      </x:c>
      <x:c r="F25" s="16"/>
      <x:c r="G25" s="16"/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91a237b891e64533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Restaurant Startup Budget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4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9" t="str">
        <x:v>Total budget</x:v>
      </x:c>
      <x:c r="B7" s="20" t="n">
        <x:f>SUM(Inputs!E6:E25)</x:f>
        <x:v>610000</x:v>
      </x:c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6a906c53d6504d46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Restaurant Startup Budget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3cfc71173f7d476b"/>
</x:worksheet>
</file>