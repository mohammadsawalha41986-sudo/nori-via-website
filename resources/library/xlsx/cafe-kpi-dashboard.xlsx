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a5551fb1e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aa00fad82aa469a"/>
    <x:sheet xmlns:r="http://schemas.openxmlformats.org/officeDocument/2006/relationships" name="Summary" sheetId="2" r:id="Rd5946d7e7af84c65"/>
    <x:sheet xmlns:r="http://schemas.openxmlformats.org/officeDocument/2006/relationships" name="Instructions" sheetId="3" r:id="R7ca3d3958a81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4b2ceb8644a34" /><Relationship Type="http://schemas.openxmlformats.org/officeDocument/2006/relationships/theme" Target="/xl/theme/theme1.xml" Id="R30b3ec7ce75f4e5a" /><Relationship Type="http://schemas.openxmlformats.org/officeDocument/2006/relationships/sharedStrings" Target="/xl/sharedStrings.xml" Id="Rfd06705c85474342" /><Relationship Type="http://schemas.openxmlformats.org/officeDocument/2006/relationships/worksheet" Target="/xl/worksheets/sheet1.xml" Id="R2aa00fad82aa469a" /><Relationship Type="http://schemas.openxmlformats.org/officeDocument/2006/relationships/worksheet" Target="/xl/worksheets/sheet2.xml" Id="Rd5946d7e7af84c65" /><Relationship Type="http://schemas.openxmlformats.org/officeDocument/2006/relationships/worksheet" Target="/xl/worksheets/sheet3.xml" Id="R7ca3d3958a8140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3349f860d0f479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d0de4fa8ff3940b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55b1b3f27e1d446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b775d46-2270-4dba-8f4d-102f68e110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49f860d0f47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34359b5-2a4d-46f3-a1a2-be66f8194c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de4fa8ff3940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bcae553-c309-45cc-a047-3430b33788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b1b3f27e1d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34f6a163274a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cb24948f73743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89c4794826441e5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</x:cols>
  <x:sheetData>
    <x:row r="1" ht="48" customHeight="1"/>
    <x:row r="2">
      <x:c r="A2" s="1" t="inlineStr">
        <x:is>
          <x:t xml:space="preserve">Noriva Café KPI Dashboard</x:t>
        </x:is>
      </x:c>
    </x:row>
    <x:row r="5">
      <x:c r="A5" s="2" t="inlineStr">
        <x:is>
          <x:t xml:space="preserve">Day part</x:t>
        </x:is>
      </x:c>
      <x:c r="B5" s="2" t="inlineStr">
        <x:is>
          <x:t xml:space="preserve">Covers</x:t>
        </x:is>
      </x:c>
      <x:c r="C5" s="2" t="inlineStr">
        <x:is>
          <x:t xml:space="preserve">Beverage revenue</x:t>
        </x:is>
      </x:c>
      <x:c r="D5" s="2" t="inlineStr">
        <x:is>
          <x:t xml:space="preserve">Food revenue</x:t>
        </x:is>
      </x:c>
      <x:c r="E5" s="2" t="inlineStr">
        <x:is>
          <x:t xml:space="preserve">Beverage cost</x:t>
        </x:is>
      </x:c>
      <x:c r="F5" s="2" t="inlineStr">
        <x:is>
          <x:t xml:space="preserve">Food cost</x:t>
        </x:is>
      </x:c>
      <x:c r="G5" s="2" t="inlineStr">
        <x:is>
          <x:t xml:space="preserve">Revenue</x:t>
        </x:is>
      </x:c>
      <x:c r="H5" s="2" t="inlineStr">
        <x:is>
          <x:t xml:space="preserve">Ticket size</x:t>
        </x:is>
      </x:c>
      <x:c r="I5" s="2" t="inlineStr">
        <x:is>
          <x:t xml:space="preserve">Attachment rate</x:t>
        </x:is>
      </x:c>
      <x:c r="J5" s="2" t="inlineStr">
        <x:is>
          <x:t xml:space="preserve">Gross margin</x:t>
        </x:is>
      </x:c>
    </x:row>
    <x:row r="6">
      <x:c r="A6" s="3" t="inlineStr">
        <x:is>
          <x:t xml:space="preserve">Morning peak</x:t>
        </x:is>
      </x:c>
      <x:c r="B6" s="4" t="n"/>
      <x:c r="C6" s="4" t="n"/>
      <x:c r="D6" s="4" t="n"/>
      <x:c r="E6" s="4" t="n"/>
      <x:c r="F6" s="4" t="n"/>
      <x:c r="G6" s="4" t="n">
        <x:f>IFERROR(C6+D6,"")</x:f>
        <x:v>0</x:v>
      </x:c>
      <x:c r="H6" s="4" t="str">
        <x:f>IFERROR(G6/B6,"")</x:f>
      </x:c>
      <x:c r="I6" s="4" t="str">
        <x:f>IFERROR(D6/C6,"")</x:f>
      </x:c>
      <x:c r="J6" s="4" t="str">
        <x:f>IFERROR((G6-E6-F6)/G6,"")</x:f>
      </x:c>
    </x:row>
    <x:row r="7">
      <x:c r="A7" s="3" t="inlineStr">
        <x:is>
          <x:t xml:space="preserve">Midday</x:t>
        </x:is>
      </x:c>
      <x:c r="B7" s="4" t="n"/>
      <x:c r="C7" s="4" t="n"/>
      <x:c r="D7" s="4" t="n"/>
      <x:c r="E7" s="4" t="n"/>
      <x:c r="F7" s="4" t="n"/>
      <x:c r="G7" s="4" t="n">
        <x:f>IFERROR(C7+D7,"")</x:f>
        <x:v>0</x:v>
      </x:c>
      <x:c r="H7" s="4" t="str">
        <x:f>IFERROR(G7/B7,"")</x:f>
      </x:c>
      <x:c r="I7" s="4" t="str">
        <x:f>IFERROR(D7/C7,"")</x:f>
      </x:c>
      <x:c r="J7" s="4" t="str">
        <x:f>IFERROR((G7-E7-F7)/G7,"")</x:f>
      </x:c>
    </x:row>
    <x:row r="8">
      <x:c r="A8" s="3" t="inlineStr">
        <x:is>
          <x:t xml:space="preserve">Afternoon</x:t>
        </x:is>
      </x:c>
      <x:c r="B8" s="4" t="n"/>
      <x:c r="C8" s="4" t="n"/>
      <x:c r="D8" s="4" t="n"/>
      <x:c r="E8" s="4" t="n"/>
      <x:c r="F8" s="4" t="n"/>
      <x:c r="G8" s="4" t="n">
        <x:f>IFERROR(C8+D8,"")</x:f>
        <x:v>0</x:v>
      </x:c>
      <x:c r="H8" s="4" t="str">
        <x:f>IFERROR(G8/B8,"")</x:f>
      </x:c>
      <x:c r="I8" s="4" t="str">
        <x:f>IFERROR(D8/C8,"")</x:f>
      </x:c>
      <x:c r="J8" s="4" t="str">
        <x:f>IFERROR((G8-E8-F8)/G8,"")</x:f>
      </x:c>
    </x:row>
    <x:row r="9">
      <x:c r="A9" s="3" t="n"/>
      <x:c r="B9" s="4" t="n"/>
      <x:c r="C9" s="4" t="n"/>
      <x:c r="D9" s="4" t="n"/>
      <x:c r="E9" s="4" t="n"/>
      <x:c r="F9" s="4" t="n"/>
      <x:c r="G9" s="4" t="n">
        <x:f>IFERROR(C9+D9,"")</x:f>
        <x:v>0</x:v>
      </x:c>
      <x:c r="H9" s="4" t="str">
        <x:f>IFERROR(G9/B9,"")</x:f>
      </x:c>
      <x:c r="I9" s="4" t="str">
        <x:f>IFERROR(D9/C9,"")</x:f>
      </x:c>
      <x:c r="J9" s="4" t="str">
        <x:f>IFERROR((G9-E9-F9)/G9,"")</x:f>
      </x:c>
    </x:row>
    <x:row r="10">
      <x:c r="A10" s="3" t="n"/>
      <x:c r="B10" s="4" t="n"/>
      <x:c r="C10" s="4" t="n"/>
      <x:c r="D10" s="4" t="n"/>
      <x:c r="E10" s="4" t="n"/>
      <x:c r="F10" s="4" t="n"/>
      <x:c r="G10" s="4" t="n">
        <x:f>IFERROR(C10+D10,"")</x:f>
        <x:v>0</x:v>
      </x:c>
      <x:c r="H10" s="4" t="str">
        <x:f>IFERROR(G10/B10,"")</x:f>
      </x:c>
      <x:c r="I10" s="4" t="str">
        <x:f>IFERROR(D10/C10,"")</x:f>
      </x:c>
      <x:c r="J10" s="4" t="str">
        <x:f>IFERROR((G10-E10-F10)/G10,"")</x:f>
      </x:c>
    </x:row>
    <x:row r="11">
      <x:c r="A11" s="3" t="n"/>
      <x:c r="B11" s="4" t="n"/>
      <x:c r="C11" s="4" t="n"/>
      <x:c r="D11" s="4" t="n"/>
      <x:c r="E11" s="4" t="n"/>
      <x:c r="F11" s="4" t="n"/>
      <x:c r="G11" s="4" t="n">
        <x:f>IFERROR(C11+D11,"")</x:f>
        <x:v>0</x:v>
      </x:c>
      <x:c r="H11" s="4" t="str">
        <x:f>IFERROR(G11/B11,"")</x:f>
      </x:c>
      <x:c r="I11" s="4" t="str">
        <x:f>IFERROR(D11/C11,"")</x:f>
      </x:c>
      <x:c r="J11" s="4" t="str">
        <x:f>IFERROR((G11-E11-F11)/G11,"")</x:f>
      </x:c>
    </x:row>
    <x:row r="12">
      <x:c r="A12" s="3" t="n"/>
      <x:c r="B12" s="4" t="n"/>
      <x:c r="C12" s="4" t="n"/>
      <x:c r="D12" s="4" t="n"/>
      <x:c r="E12" s="4" t="n"/>
      <x:c r="F12" s="4" t="n"/>
      <x:c r="G12" s="4" t="n">
        <x:f>IFERROR(C12+D12,"")</x:f>
        <x:v>0</x:v>
      </x:c>
      <x:c r="H12" s="4" t="str">
        <x:f>IFERROR(G12/B12,"")</x:f>
      </x:c>
      <x:c r="I12" s="4" t="str">
        <x:f>IFERROR(D12/C12,"")</x:f>
      </x:c>
      <x:c r="J12" s="4" t="str">
        <x:f>IFERROR((G12-E12-F12)/G12,"")</x:f>
      </x:c>
    </x:row>
    <x:row r="13">
      <x:c r="A13" s="3" t="n"/>
      <x:c r="B13" s="4" t="n"/>
      <x:c r="C13" s="4" t="n"/>
      <x:c r="D13" s="4" t="n"/>
      <x:c r="E13" s="4" t="n"/>
      <x:c r="F13" s="4" t="n"/>
      <x:c r="G13" s="4" t="n">
        <x:f>IFERROR(C13+D13,"")</x:f>
        <x:v>0</x:v>
      </x:c>
      <x:c r="H13" s="4" t="str">
        <x:f>IFERROR(G13/B13,"")</x:f>
      </x:c>
      <x:c r="I13" s="4" t="str">
        <x:f>IFERROR(D13/C13,"")</x:f>
      </x:c>
      <x:c r="J13" s="4" t="str">
        <x:f>IFERROR((G13-E13-F13)/G13,"")</x:f>
      </x:c>
    </x:row>
    <x:row r="14">
      <x:c r="A14" s="3" t="n"/>
      <x:c r="B14" s="4" t="n"/>
      <x:c r="C14" s="4" t="n"/>
      <x:c r="D14" s="4" t="n"/>
      <x:c r="E14" s="4" t="n"/>
      <x:c r="F14" s="4" t="n"/>
      <x:c r="G14" s="4" t="n">
        <x:f>IFERROR(C14+D14,"")</x:f>
        <x:v>0</x:v>
      </x:c>
      <x:c r="H14" s="4" t="str">
        <x:f>IFERROR(G14/B14,"")</x:f>
      </x:c>
      <x:c r="I14" s="4" t="str">
        <x:f>IFERROR(D14/C14,"")</x:f>
      </x:c>
      <x:c r="J14" s="4" t="str">
        <x:f>IFERROR((G14-E14-F14)/G14,"")</x:f>
      </x:c>
    </x:row>
    <x:row r="15">
      <x:c r="A15" s="3" t="n"/>
      <x:c r="B15" s="4" t="n"/>
      <x:c r="C15" s="4" t="n"/>
      <x:c r="D15" s="4" t="n"/>
      <x:c r="E15" s="4" t="n"/>
      <x:c r="F15" s="4" t="n"/>
      <x:c r="G15" s="4" t="n">
        <x:f>IFERROR(C15+D15,"")</x:f>
        <x:v>0</x:v>
      </x:c>
      <x:c r="H15" s="4" t="str">
        <x:f>IFERROR(G15/B15,"")</x:f>
      </x:c>
      <x:c r="I15" s="4" t="str">
        <x:f>IFERROR(D15/C15,"")</x:f>
      </x:c>
      <x:c r="J15" s="4" t="str">
        <x:f>IFERROR((G15-E15-F15)/G15,"")</x:f>
      </x:c>
    </x:row>
    <x:row r="16">
      <x:c r="A16" s="3" t="n"/>
      <x:c r="B16" s="4" t="n"/>
      <x:c r="C16" s="4" t="n"/>
      <x:c r="D16" s="4" t="n"/>
      <x:c r="E16" s="4" t="n"/>
      <x:c r="F16" s="4" t="n"/>
      <x:c r="G16" s="4" t="n">
        <x:f>IFERROR(C16+D16,"")</x:f>
        <x:v>0</x:v>
      </x:c>
      <x:c r="H16" s="4" t="str">
        <x:f>IFERROR(G16/B16,"")</x:f>
      </x:c>
      <x:c r="I16" s="4" t="str">
        <x:f>IFERROR(D16/C16,"")</x:f>
      </x:c>
      <x:c r="J16" s="4" t="str">
        <x:f>IFERROR((G16-E16-F16)/G16,"")</x:f>
      </x:c>
    </x:row>
    <x:row r="17">
      <x:c r="A17" s="3" t="n"/>
      <x:c r="B17" s="4" t="n"/>
      <x:c r="C17" s="4" t="n"/>
      <x:c r="D17" s="4" t="n"/>
      <x:c r="E17" s="4" t="n"/>
      <x:c r="F17" s="4" t="n"/>
      <x:c r="G17" s="4" t="n">
        <x:f>IFERROR(C17+D17,"")</x:f>
        <x:v>0</x:v>
      </x:c>
      <x:c r="H17" s="4" t="str">
        <x:f>IFERROR(G17/B17,"")</x:f>
      </x:c>
      <x:c r="I17" s="4" t="str">
        <x:f>IFERROR(D17/C17,"")</x:f>
      </x:c>
      <x:c r="J17" s="4" t="str">
        <x:f>IFERROR((G17-E17-F17)/G17,"")</x:f>
      </x:c>
    </x:row>
    <x:row r="18">
      <x:c r="A18" s="3" t="n"/>
      <x:c r="B18" s="4" t="n"/>
      <x:c r="C18" s="4" t="n"/>
      <x:c r="D18" s="4" t="n"/>
      <x:c r="E18" s="4" t="n"/>
      <x:c r="F18" s="4" t="n"/>
      <x:c r="G18" s="4" t="n">
        <x:f>IFERROR(C18+D18,"")</x:f>
        <x:v>0</x:v>
      </x:c>
      <x:c r="H18" s="4" t="str">
        <x:f>IFERROR(G18/B18,"")</x:f>
      </x:c>
      <x:c r="I18" s="4" t="str">
        <x:f>IFERROR(D18/C18,"")</x:f>
      </x:c>
      <x:c r="J18" s="4" t="str">
        <x:f>IFERROR((G18-E18-F18)/G18,"")</x:f>
      </x:c>
    </x:row>
    <x:row r="19">
      <x:c r="A19" s="3" t="n"/>
      <x:c r="B19" s="4" t="n"/>
      <x:c r="C19" s="4" t="n"/>
      <x:c r="D19" s="4" t="n"/>
      <x:c r="E19" s="4" t="n"/>
      <x:c r="F19" s="4" t="n"/>
      <x:c r="G19" s="4" t="n">
        <x:f>IFERROR(C19+D19,"")</x:f>
        <x:v>0</x:v>
      </x:c>
      <x:c r="H19" s="4" t="str">
        <x:f>IFERROR(G19/B19,"")</x:f>
      </x:c>
      <x:c r="I19" s="4" t="str">
        <x:f>IFERROR(D19/C19,"")</x:f>
      </x:c>
      <x:c r="J19" s="4" t="str">
        <x:f>IFERROR((G19-E19-F19)/G19,"")</x:f>
      </x:c>
    </x:row>
    <x:row r="20">
      <x:c r="A20" s="3" t="n"/>
      <x:c r="B20" s="4" t="n"/>
      <x:c r="C20" s="4" t="n"/>
      <x:c r="D20" s="4" t="n"/>
      <x:c r="E20" s="4" t="n"/>
      <x:c r="F20" s="4" t="n"/>
      <x:c r="G20" s="4" t="n">
        <x:f>IFERROR(C20+D20,"")</x:f>
        <x:v>0</x:v>
      </x:c>
      <x:c r="H20" s="4" t="str">
        <x:f>IFERROR(G20/B20,"")</x:f>
      </x:c>
      <x:c r="I20" s="4" t="str">
        <x:f>IFERROR(D20/C20,"")</x:f>
      </x:c>
      <x:c r="J20" s="4" t="str">
        <x:f>IFERROR((G20-E20-F20)/G20,"")</x:f>
      </x:c>
    </x:row>
    <x:row r="21">
      <x:c r="A21" s="3" t="n"/>
      <x:c r="B21" s="4" t="n"/>
      <x:c r="C21" s="4" t="n"/>
      <x:c r="D21" s="4" t="n"/>
      <x:c r="E21" s="4" t="n"/>
      <x:c r="F21" s="4" t="n"/>
      <x:c r="G21" s="4" t="n">
        <x:f>IFERROR(C21+D21,"")</x:f>
        <x:v>0</x:v>
      </x:c>
      <x:c r="H21" s="4" t="str">
        <x:f>IFERROR(G21/B21,"")</x:f>
      </x:c>
      <x:c r="I21" s="4" t="str">
        <x:f>IFERROR(D21/C21,"")</x:f>
      </x:c>
      <x:c r="J21" s="4" t="str">
        <x:f>IFERROR((G21-E21-F21)/G21,"")</x:f>
      </x:c>
    </x:row>
    <x:row r="22">
      <x:c r="A22" s="3" t="n"/>
      <x:c r="B22" s="4" t="n"/>
      <x:c r="C22" s="4" t="n"/>
      <x:c r="D22" s="4" t="n"/>
      <x:c r="E22" s="4" t="n"/>
      <x:c r="F22" s="4" t="n"/>
      <x:c r="G22" s="4" t="n">
        <x:f>IFERROR(C22+D22,"")</x:f>
        <x:v>0</x:v>
      </x:c>
      <x:c r="H22" s="4" t="str">
        <x:f>IFERROR(G22/B22,"")</x:f>
      </x:c>
      <x:c r="I22" s="4" t="str">
        <x:f>IFERROR(D22/C22,"")</x:f>
      </x:c>
      <x:c r="J22" s="4" t="str">
        <x:f>IFERROR((G22-E22-F22)/G22,"")</x:f>
      </x:c>
    </x:row>
    <x:row r="23">
      <x:c r="A23" s="3" t="n"/>
      <x:c r="B23" s="4" t="n"/>
      <x:c r="C23" s="4" t="n"/>
      <x:c r="D23" s="4" t="n"/>
      <x:c r="E23" s="4" t="n"/>
      <x:c r="F23" s="4" t="n"/>
      <x:c r="G23" s="4" t="n">
        <x:f>IFERROR(C23+D23,"")</x:f>
        <x:v>0</x:v>
      </x:c>
      <x:c r="H23" s="4" t="str">
        <x:f>IFERROR(G23/B23,"")</x:f>
      </x:c>
      <x:c r="I23" s="4" t="str">
        <x:f>IFERROR(D23/C23,"")</x:f>
      </x:c>
      <x:c r="J23" s="4" t="str">
        <x:f>IFERROR((G23-E23-F23)/G23,"")</x:f>
      </x:c>
    </x:row>
    <x:row r="24">
      <x:c r="A24" s="3" t="n"/>
      <x:c r="B24" s="4" t="n"/>
      <x:c r="C24" s="4" t="n"/>
      <x:c r="D24" s="4" t="n"/>
      <x:c r="E24" s="4" t="n"/>
      <x:c r="F24" s="4" t="n"/>
      <x:c r="G24" s="4" t="n">
        <x:f>IFERROR(C24+D24,"")</x:f>
        <x:v>0</x:v>
      </x:c>
      <x:c r="H24" s="4" t="str">
        <x:f>IFERROR(G24/B24,"")</x:f>
      </x:c>
      <x:c r="I24" s="4" t="str">
        <x:f>IFERROR(D24/C24,"")</x:f>
      </x:c>
      <x:c r="J24" s="4" t="str">
        <x:f>IFERROR((G24-E24-F24)/G24,"")</x:f>
      </x:c>
    </x:row>
    <x:row r="25">
      <x:c r="A25" s="3" t="n"/>
      <x:c r="B25" s="4" t="n"/>
      <x:c r="C25" s="4" t="n"/>
      <x:c r="D25" s="4" t="n"/>
      <x:c r="E25" s="4" t="n"/>
      <x:c r="F25" s="4" t="n"/>
      <x:c r="G25" s="4" t="n">
        <x:f>IFERROR(C25+D25,"")</x:f>
        <x:v>0</x:v>
      </x:c>
      <x:c r="H25" s="4" t="str">
        <x:f>IFERROR(G25/B25,"")</x:f>
      </x:c>
      <x:c r="I25" s="4" t="str">
        <x:f>IFERROR(D25/C25,"")</x:f>
      </x:c>
      <x:c r="J25" s="4" t="str">
        <x:f>IFERROR((G25-E25-F25)/G25,"")</x:f>
      </x:c>
    </x:row>
  </x:sheetData>
  <x:pageMargins left="0.7" right="0.7" top="0.75" bottom="0.75" header="0.3" footer="0.3"/>
  <x:drawing xmlns:r="http://schemas.openxmlformats.org/officeDocument/2006/relationships" r:id="R3934f6a163274a47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Café KPI Dashboard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Day parts entered</x:t>
        </x:is>
      </x:c>
      <x:c r="B6" s="4" t="n">
        <x:f>COUNTA(Inputs!A6:A25)</x:f>
        <x:v>3</x:v>
      </x:c>
    </x:row>
    <x:row r="7">
      <x:c r="A7" s="3" t="inlineStr">
        <x:is>
          <x:t xml:space="preserve">Total covers</x:t>
        </x:is>
      </x:c>
      <x:c r="B7" s="4" t="n">
        <x:f>SUM(Inputs!B6:B25)</x:f>
        <x:v>0</x:v>
      </x:c>
    </x:row>
    <x:row r="8">
      <x:c r="A8" s="3" t="inlineStr">
        <x:is>
          <x:t xml:space="preserve">Total revenue</x:t>
        </x:is>
      </x:c>
      <x:c r="B8" s="4" t="n">
        <x:f>SUM(Inputs!G6:G25)</x:f>
        <x:v>0</x:v>
      </x:c>
    </x:row>
    <x:row r="9">
      <x:c r="A9" s="3" t="inlineStr">
        <x:is>
          <x:t xml:space="preserve">Average ticket size</x:t>
        </x:is>
      </x:c>
      <x:c r="B9" s="4" t="n">
        <x:f>IFERROR(B7/B6,"")</x:f>
        <x:v>0</x:v>
      </x:c>
    </x:row>
    <x:row r="10">
      <x:c r="A10" s="3" t="inlineStr">
        <x:is>
          <x:t xml:space="preserve">Peak covers</x:t>
        </x:is>
      </x:c>
      <x:c r="B10" s="4" t="n">
        <x:f>IFERROR(MAX(Inputs!B6:B25),"")</x:f>
        <x:v>0</x:v>
      </x:c>
    </x:row>
  </x:sheetData>
  <x:pageMargins left="0.7" right="0.7" top="0.75" bottom="0.75" header="0.3" footer="0.3"/>
  <x:drawing xmlns:r="http://schemas.openxmlformats.org/officeDocument/2006/relationships" r:id="Racb24948f73743fb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Café KPI Dashboard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b89c4794826441e5"/>
</x:worksheet>
</file>