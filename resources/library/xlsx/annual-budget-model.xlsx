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7324D"/>
      <sz val="12"/>
    </font>
    <font>
      <b val="1"/>
      <color rgb="FFFFFFFF"/>
      <sz val="10"/>
    </font>
    <font>
      <color rgb="FF1F2933"/>
      <sz val="10"/>
    </font>
    <font>
      <color rgb="FF0070C0"/>
      <sz val="10"/>
    </font>
    <font>
      <b val="1"/>
      <color rgb="FF17324D"/>
      <sz val="10"/>
    </font>
  </fonts>
  <fills count="3">
    <fill>
      <patternFill/>
    </fill>
    <fill>
      <patternFill patternType="gray125"/>
    </fill>
    <fill>
      <patternFill patternType="solid">
        <fgColor rgb="FF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A2" s="1" t="inlineStr">
        <is>
          <t>Noriva Annual Budget Model</t>
        </is>
      </c>
    </row>
    <row r="5">
      <c r="A5" s="2" t="inlineStr">
        <is>
          <t>Revenue segment</t>
        </is>
      </c>
      <c r="B5" s="2" t="inlineStr">
        <is>
          <t>Monthly revenue</t>
        </is>
      </c>
      <c r="C5" s="2" t="inlineStr">
        <is>
          <t>Cost of sales %</t>
        </is>
      </c>
      <c r="D5" s="2" t="inlineStr">
        <is>
          <t>Labour cost</t>
        </is>
      </c>
      <c r="E5" s="2" t="inlineStr">
        <is>
          <t>Fixed cost share</t>
        </is>
      </c>
      <c r="F5" s="2" t="inlineStr">
        <is>
          <t>Cost of sales</t>
        </is>
      </c>
      <c r="G5" s="2" t="inlineStr">
        <is>
          <t>Monthly contribution</t>
        </is>
      </c>
      <c r="H5" s="2" t="inlineStr">
        <is>
          <t>Annualised</t>
        </is>
      </c>
    </row>
    <row r="6">
      <c r="A6" s="3" t="inlineStr">
        <is>
          <t>Dine-in</t>
        </is>
      </c>
      <c r="B6" s="4" t="n"/>
      <c r="C6" s="4" t="n"/>
      <c r="D6" s="4" t="n"/>
      <c r="E6" s="4" t="n"/>
      <c r="F6" s="4">
        <f>IFERROR($B6*$C6,"")</f>
        <v/>
      </c>
      <c r="G6" s="4">
        <f>IFERROR($B6-F6-$D6-$E6,"")</f>
        <v/>
      </c>
      <c r="H6" s="4">
        <f>IFERROR(G6*12,"")</f>
        <v/>
      </c>
    </row>
    <row r="7">
      <c r="A7" s="3" t="inlineStr">
        <is>
          <t>Delivery</t>
        </is>
      </c>
      <c r="B7" s="4" t="n"/>
      <c r="C7" s="4" t="n"/>
      <c r="D7" s="4" t="n"/>
      <c r="E7" s="4" t="n"/>
      <c r="F7" s="4">
        <f>IFERROR($B7*$C7,"")</f>
        <v/>
      </c>
      <c r="G7" s="4">
        <f>IFERROR($B7-F7-$D7-$E7,"")</f>
        <v/>
      </c>
      <c r="H7" s="4">
        <f>IFERROR(G7*12,"")</f>
        <v/>
      </c>
    </row>
    <row r="8">
      <c r="A8" s="3" t="inlineStr">
        <is>
          <t>Collection</t>
        </is>
      </c>
      <c r="B8" s="4" t="n"/>
      <c r="C8" s="4" t="n"/>
      <c r="D8" s="4" t="n"/>
      <c r="E8" s="4" t="n"/>
      <c r="F8" s="4">
        <f>IFERROR($B8*$C8,"")</f>
        <v/>
      </c>
      <c r="G8" s="4">
        <f>IFERROR($B8-F8-$D8-$E8,"")</f>
        <v/>
      </c>
      <c r="H8" s="4">
        <f>IFERROR(G8*12,"")</f>
        <v/>
      </c>
    </row>
    <row r="9">
      <c r="A9" s="3" t="n"/>
      <c r="B9" s="4" t="n"/>
      <c r="C9" s="4" t="n"/>
      <c r="D9" s="4" t="n"/>
      <c r="E9" s="4" t="n"/>
      <c r="F9" s="4">
        <f>IFERROR($B9*$C9,"")</f>
        <v/>
      </c>
      <c r="G9" s="4">
        <f>IFERROR($B9-F9-$D9-$E9,"")</f>
        <v/>
      </c>
      <c r="H9" s="4">
        <f>IFERROR(G9*12,"")</f>
        <v/>
      </c>
    </row>
    <row r="10">
      <c r="A10" s="3" t="n"/>
      <c r="B10" s="4" t="n"/>
      <c r="C10" s="4" t="n"/>
      <c r="D10" s="4" t="n"/>
      <c r="E10" s="4" t="n"/>
      <c r="F10" s="4">
        <f>IFERROR($B10*$C10,"")</f>
        <v/>
      </c>
      <c r="G10" s="4">
        <f>IFERROR($B10-F10-$D10-$E10,"")</f>
        <v/>
      </c>
      <c r="H10" s="4">
        <f>IFERROR(G10*12,"")</f>
        <v/>
      </c>
    </row>
    <row r="11">
      <c r="A11" s="3" t="n"/>
      <c r="B11" s="4" t="n"/>
      <c r="C11" s="4" t="n"/>
      <c r="D11" s="4" t="n"/>
      <c r="E11" s="4" t="n"/>
      <c r="F11" s="4">
        <f>IFERROR($B11*$C11,"")</f>
        <v/>
      </c>
      <c r="G11" s="4">
        <f>IFERROR($B11-F11-$D11-$E11,"")</f>
        <v/>
      </c>
      <c r="H11" s="4">
        <f>IFERROR(G11*12,"")</f>
        <v/>
      </c>
    </row>
    <row r="12">
      <c r="A12" s="3" t="n"/>
      <c r="B12" s="4" t="n"/>
      <c r="C12" s="4" t="n"/>
      <c r="D12" s="4" t="n"/>
      <c r="E12" s="4" t="n"/>
      <c r="F12" s="4">
        <f>IFERROR($B12*$C12,"")</f>
        <v/>
      </c>
      <c r="G12" s="4">
        <f>IFERROR($B12-F12-$D12-$E12,"")</f>
        <v/>
      </c>
      <c r="H12" s="4">
        <f>IFERROR(G12*12,"")</f>
        <v/>
      </c>
    </row>
    <row r="13">
      <c r="A13" s="3" t="n"/>
      <c r="B13" s="4" t="n"/>
      <c r="C13" s="4" t="n"/>
      <c r="D13" s="4" t="n"/>
      <c r="E13" s="4" t="n"/>
      <c r="F13" s="4">
        <f>IFERROR($B13*$C13,"")</f>
        <v/>
      </c>
      <c r="G13" s="4">
        <f>IFERROR($B13-F13-$D13-$E13,"")</f>
        <v/>
      </c>
      <c r="H13" s="4">
        <f>IFERROR(G13*12,"")</f>
        <v/>
      </c>
    </row>
    <row r="14">
      <c r="A14" s="3" t="n"/>
      <c r="B14" s="4" t="n"/>
      <c r="C14" s="4" t="n"/>
      <c r="D14" s="4" t="n"/>
      <c r="E14" s="4" t="n"/>
      <c r="F14" s="4">
        <f>IFERROR($B14*$C14,"")</f>
        <v/>
      </c>
      <c r="G14" s="4">
        <f>IFERROR($B14-F14-$D14-$E14,"")</f>
        <v/>
      </c>
      <c r="H14" s="4">
        <f>IFERROR(G14*12,"")</f>
        <v/>
      </c>
    </row>
    <row r="15">
      <c r="A15" s="3" t="n"/>
      <c r="B15" s="4" t="n"/>
      <c r="C15" s="4" t="n"/>
      <c r="D15" s="4" t="n"/>
      <c r="E15" s="4" t="n"/>
      <c r="F15" s="4">
        <f>IFERROR($B15*$C15,"")</f>
        <v/>
      </c>
      <c r="G15" s="4">
        <f>IFERROR($B15-F15-$D15-$E15,"")</f>
        <v/>
      </c>
      <c r="H15" s="4">
        <f>IFERROR(G15*12,"")</f>
        <v/>
      </c>
    </row>
    <row r="16">
      <c r="A16" s="3" t="n"/>
      <c r="B16" s="4" t="n"/>
      <c r="C16" s="4" t="n"/>
      <c r="D16" s="4" t="n"/>
      <c r="E16" s="4" t="n"/>
      <c r="F16" s="4">
        <f>IFERROR($B16*$C16,"")</f>
        <v/>
      </c>
      <c r="G16" s="4">
        <f>IFERROR($B16-F16-$D16-$E16,"")</f>
        <v/>
      </c>
      <c r="H16" s="4">
        <f>IFERROR(G16*12,"")</f>
        <v/>
      </c>
    </row>
    <row r="17">
      <c r="A17" s="3" t="n"/>
      <c r="B17" s="4" t="n"/>
      <c r="C17" s="4" t="n"/>
      <c r="D17" s="4" t="n"/>
      <c r="E17" s="4" t="n"/>
      <c r="F17" s="4">
        <f>IFERROR($B17*$C17,"")</f>
        <v/>
      </c>
      <c r="G17" s="4">
        <f>IFERROR($B17-F17-$D17-$E17,"")</f>
        <v/>
      </c>
      <c r="H17" s="4">
        <f>IFERROR(G17*12,"")</f>
        <v/>
      </c>
    </row>
    <row r="18">
      <c r="A18" s="3" t="n"/>
      <c r="B18" s="4" t="n"/>
      <c r="C18" s="4" t="n"/>
      <c r="D18" s="4" t="n"/>
      <c r="E18" s="4" t="n"/>
      <c r="F18" s="4">
        <f>IFERROR($B18*$C18,"")</f>
        <v/>
      </c>
      <c r="G18" s="4">
        <f>IFERROR($B18-F18-$D18-$E18,"")</f>
        <v/>
      </c>
      <c r="H18" s="4">
        <f>IFERROR(G18*12,"")</f>
        <v/>
      </c>
    </row>
    <row r="19">
      <c r="A19" s="3" t="n"/>
      <c r="B19" s="4" t="n"/>
      <c r="C19" s="4" t="n"/>
      <c r="D19" s="4" t="n"/>
      <c r="E19" s="4" t="n"/>
      <c r="F19" s="4">
        <f>IFERROR($B19*$C19,"")</f>
        <v/>
      </c>
      <c r="G19" s="4">
        <f>IFERROR($B19-F19-$D19-$E19,"")</f>
        <v/>
      </c>
      <c r="H19" s="4">
        <f>IFERROR(G19*12,"")</f>
        <v/>
      </c>
    </row>
    <row r="20">
      <c r="A20" s="3" t="n"/>
      <c r="B20" s="4" t="n"/>
      <c r="C20" s="4" t="n"/>
      <c r="D20" s="4" t="n"/>
      <c r="E20" s="4" t="n"/>
      <c r="F20" s="4">
        <f>IFERROR($B20*$C20,"")</f>
        <v/>
      </c>
      <c r="G20" s="4">
        <f>IFERROR($B20-F20-$D20-$E20,"")</f>
        <v/>
      </c>
      <c r="H20" s="4">
        <f>IFERROR(G20*12,"")</f>
        <v/>
      </c>
    </row>
    <row r="21">
      <c r="A21" s="3" t="n"/>
      <c r="B21" s="4" t="n"/>
      <c r="C21" s="4" t="n"/>
      <c r="D21" s="4" t="n"/>
      <c r="E21" s="4" t="n"/>
      <c r="F21" s="4">
        <f>IFERROR($B21*$C21,"")</f>
        <v/>
      </c>
      <c r="G21" s="4">
        <f>IFERROR($B21-F21-$D21-$E21,"")</f>
        <v/>
      </c>
      <c r="H21" s="4">
        <f>IFERROR(G21*12,"")</f>
        <v/>
      </c>
    </row>
    <row r="22">
      <c r="A22" s="3" t="n"/>
      <c r="B22" s="4" t="n"/>
      <c r="C22" s="4" t="n"/>
      <c r="D22" s="4" t="n"/>
      <c r="E22" s="4" t="n"/>
      <c r="F22" s="4">
        <f>IFERROR($B22*$C22,"")</f>
        <v/>
      </c>
      <c r="G22" s="4">
        <f>IFERROR($B22-F22-$D22-$E22,"")</f>
        <v/>
      </c>
      <c r="H22" s="4">
        <f>IFERROR(G22*12,"")</f>
        <v/>
      </c>
    </row>
    <row r="23">
      <c r="A23" s="3" t="n"/>
      <c r="B23" s="4" t="n"/>
      <c r="C23" s="4" t="n"/>
      <c r="D23" s="4" t="n"/>
      <c r="E23" s="4" t="n"/>
      <c r="F23" s="4">
        <f>IFERROR($B23*$C23,"")</f>
        <v/>
      </c>
      <c r="G23" s="4">
        <f>IFERROR($B23-F23-$D23-$E23,"")</f>
        <v/>
      </c>
      <c r="H23" s="4">
        <f>IFERROR(G23*12,"")</f>
        <v/>
      </c>
    </row>
    <row r="24">
      <c r="A24" s="3" t="n"/>
      <c r="B24" s="4" t="n"/>
      <c r="C24" s="4" t="n"/>
      <c r="D24" s="4" t="n"/>
      <c r="E24" s="4" t="n"/>
      <c r="F24" s="4">
        <f>IFERROR($B24*$C24,"")</f>
        <v/>
      </c>
      <c r="G24" s="4">
        <f>IFERROR($B24-F24-$D24-$E24,"")</f>
        <v/>
      </c>
      <c r="H24" s="4">
        <f>IFERROR(G24*12,"")</f>
        <v/>
      </c>
    </row>
    <row r="25">
      <c r="A25" s="3" t="n"/>
      <c r="B25" s="4" t="n"/>
      <c r="C25" s="4" t="n"/>
      <c r="D25" s="4" t="n"/>
      <c r="E25" s="4" t="n"/>
      <c r="F25" s="4">
        <f>IFERROR($B25*$C25,"")</f>
        <v/>
      </c>
      <c r="G25" s="4">
        <f>IFERROR($B25-F25-$D25-$E25,"")</f>
        <v/>
      </c>
      <c r="H25" s="4">
        <f>IFERROR(G25*12,"")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2">
      <c r="A2" s="1" t="inlineStr">
        <is>
          <t>Noriva Annual Budget Model</t>
        </is>
      </c>
    </row>
    <row r="5">
      <c r="A5" s="2" t="inlineStr">
        <is>
          <t>Driver</t>
        </is>
      </c>
      <c r="B5" s="2" t="inlineStr">
        <is>
          <t>Base</t>
        </is>
      </c>
      <c r="C5" s="2" t="inlineStr">
        <is>
          <t>Downside</t>
        </is>
      </c>
      <c r="D5" s="2" t="inlineStr">
        <is>
          <t>Active</t>
        </is>
      </c>
    </row>
    <row r="6">
      <c r="A6" s="3" t="inlineStr">
        <is>
          <t>Downside revenue factor</t>
        </is>
      </c>
      <c r="B6" s="4" t="n">
        <v>0.9</v>
      </c>
      <c r="C6" s="4" t="n"/>
      <c r="D6" s="4">
        <f>B6</f>
        <v/>
      </c>
    </row>
    <row r="7">
      <c r="A7" s="3" t="inlineStr">
        <is>
          <t>Downside cost-of-sales uplift</t>
        </is>
      </c>
      <c r="B7" s="4" t="n">
        <v>0.03</v>
      </c>
      <c r="C7" s="4" t="n"/>
      <c r="D7" s="4">
        <f>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2">
      <c r="A2" s="1" t="inlineStr">
        <is>
          <t>Noriva Annual Budget Model</t>
        </is>
      </c>
    </row>
    <row r="5">
      <c r="A5" s="2" t="inlineStr">
        <is>
          <t>Metric</t>
        </is>
      </c>
      <c r="B5" s="2" t="inlineStr">
        <is>
          <t>Result</t>
        </is>
      </c>
    </row>
    <row r="6">
      <c r="A6" s="3" t="inlineStr">
        <is>
          <t>Segments entered</t>
        </is>
      </c>
      <c r="B6" s="4">
        <f>COUNTA(Inputs!A6:A25)</f>
        <v/>
      </c>
    </row>
    <row r="7">
      <c r="A7" s="3" t="inlineStr">
        <is>
          <t>Monthly revenue</t>
        </is>
      </c>
      <c r="B7" s="4">
        <f>SUM(Inputs!B6:B25)</f>
        <v/>
      </c>
    </row>
    <row r="8">
      <c r="A8" s="3" t="inlineStr">
        <is>
          <t>Monthly contribution</t>
        </is>
      </c>
      <c r="B8" s="4">
        <f>SUM(Inputs!G6:G25)</f>
        <v/>
      </c>
    </row>
    <row r="9">
      <c r="A9" s="3" t="inlineStr">
        <is>
          <t>Annualised contribution</t>
        </is>
      </c>
      <c r="B9" s="4">
        <f>SUM(Inputs!H6:H25)</f>
        <v/>
      </c>
    </row>
    <row r="10">
      <c r="A10" s="3" t="inlineStr">
        <is>
          <t>Contribution margin</t>
        </is>
      </c>
      <c r="B10" s="4">
        <f>IFERROR(B7/B6,"")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9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2">
      <c r="A2" s="1" t="inlineStr">
        <is>
          <t>Noriva Annual Budget Model</t>
        </is>
      </c>
    </row>
    <row r="4">
      <c r="A4" s="5" t="inlineStr">
        <is>
          <t>How to use this workbook</t>
        </is>
      </c>
    </row>
    <row r="6">
      <c r="A6" s="3" t="n">
        <v>1</v>
      </c>
      <c r="B6" s="3" t="inlineStr">
        <is>
          <t>Replace sample rows with your verified business data.</t>
        </is>
      </c>
    </row>
    <row r="7">
      <c r="A7" s="3" t="n">
        <v>2</v>
      </c>
      <c r="B7" s="3" t="inlineStr">
        <is>
          <t>Yellow and blue-font cells are intended for user inputs; calculated cells contain formulas.</t>
        </is>
      </c>
    </row>
    <row r="8">
      <c r="A8" s="3" t="n">
        <v>3</v>
      </c>
      <c r="B8" s="3" t="inlineStr">
        <is>
          <t>Review the Summary after completing the input table.</t>
        </is>
      </c>
    </row>
    <row r="9">
      <c r="A9" s="3" t="n">
        <v>4</v>
      </c>
      <c r="B9" s="3" t="inlineStr">
        <is>
          <t>Do not use sample values as market facts or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2026-09-09T05:48:07Z</dcterms:created>
  <dcterms:modified xmlns:dcterms="http://purl.org/dc/terms/" xmlns:xsi="http://www.w3.org/2001/XMLSchema-instance" xsi:type="dcterms:W3CDTF">2026-09-09T05:48:07Z</dcterms:modified>
</cp:coreProperties>
</file>