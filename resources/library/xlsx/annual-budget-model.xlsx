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e9b8a61b7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632238f3c1b040d5"/>
    <x:sheet xmlns:r="http://schemas.openxmlformats.org/officeDocument/2006/relationships" name="Assumptions" sheetId="2" r:id="R07956bca41274e68"/>
    <x:sheet xmlns:r="http://schemas.openxmlformats.org/officeDocument/2006/relationships" name="Summary" sheetId="3" r:id="R7ace777a39ed438e"/>
    <x:sheet xmlns:r="http://schemas.openxmlformats.org/officeDocument/2006/relationships" name="Instructions" sheetId="4" r:id="R097651ba3cac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2"/>
      <x:color rgb="FF17324D"/>
    </x:font>
    <x:font>
      <x:b/>
      <x:sz val="10"/>
      <x:color rgb="FFFFFFFF"/>
    </x:font>
    <x:font>
      <x:sz val="10"/>
      <x:color rgb="FF1F2933"/>
    </x:font>
    <x:font>
      <x:sz val="10"/>
      <x:color rgb="FF0070C0"/>
    </x:font>
    <x:font>
      <x:b/>
      <x:sz val="10"/>
      <x:color rgb="FF17324D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2" fillId="2" borderId="0" xfId="0" applyAlignment="1">
      <x:alignment vertical="center" wrapText="1"/>
    </x:xf>
    <x:xf numFmtId="0" fontId="3" fillId="0" borderId="0" xfId="0"/>
    <x:xf numFmtId="0" fontId="4" fillId="0" borderId="0" xfId="0"/>
    <x:xf numFmtId="0" fontId="5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f519702694cd3" /><Relationship Type="http://schemas.openxmlformats.org/officeDocument/2006/relationships/theme" Target="/xl/theme/theme1.xml" Id="R80b1af70e3224017" /><Relationship Type="http://schemas.openxmlformats.org/officeDocument/2006/relationships/sharedStrings" Target="/xl/sharedStrings.xml" Id="R54ad981182e243be" /><Relationship Type="http://schemas.openxmlformats.org/officeDocument/2006/relationships/worksheet" Target="/xl/worksheets/sheet1.xml" Id="R632238f3c1b040d5" /><Relationship Type="http://schemas.openxmlformats.org/officeDocument/2006/relationships/worksheet" Target="/xl/worksheets/sheet2.xml" Id="R07956bca41274e68" /><Relationship Type="http://schemas.openxmlformats.org/officeDocument/2006/relationships/worksheet" Target="/xl/worksheets/sheet3.xml" Id="R7ace777a39ed438e" /><Relationship Type="http://schemas.openxmlformats.org/officeDocument/2006/relationships/worksheet" Target="/xl/worksheets/sheet4.xml" Id="R097651ba3cac47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60a1730312c479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3415426ba15c49c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07f726a14e0a41c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.jpg" Id="Rb4c2186d5e1a4b4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4004ba92-d0eb-48d4-8b5b-1fd67e46f8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0a1730312c47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86c4c687-edea-4a0f-a922-3837d8660a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15426ba15c49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08cd8e3b-0328-4bd6-bfd4-39b123cd6e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f726a14e0a41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6a74d155-98b1-4c29-b8ce-15a440b3e5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c2186d5e1a4b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44398660f845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9404f03546a4e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ca23a97bd6746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92c2f2dfa66949f3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8" defaultRowHeight="15"/>
  <x:cols>
    <x:col min="1" max="1" width="22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 ht="48" customHeight="1"/>
    <x:row r="2">
      <x:c r="A2" s="1" t="inlineStr">
        <x:is>
          <x:t xml:space="preserve">Noriva Annual Budget Model</x:t>
        </x:is>
      </x:c>
    </x:row>
    <x:row r="5">
      <x:c r="A5" s="2" t="inlineStr">
        <x:is>
          <x:t xml:space="preserve">Revenue segment</x:t>
        </x:is>
      </x:c>
      <x:c r="B5" s="2" t="inlineStr">
        <x:is>
          <x:t xml:space="preserve">Monthly revenue</x:t>
        </x:is>
      </x:c>
      <x:c r="C5" s="2" t="inlineStr">
        <x:is>
          <x:t xml:space="preserve">Cost of sales %</x:t>
        </x:is>
      </x:c>
      <x:c r="D5" s="2" t="inlineStr">
        <x:is>
          <x:t xml:space="preserve">Labour cost</x:t>
        </x:is>
      </x:c>
      <x:c r="E5" s="2" t="inlineStr">
        <x:is>
          <x:t xml:space="preserve">Fixed cost share</x:t>
        </x:is>
      </x:c>
      <x:c r="F5" s="2" t="inlineStr">
        <x:is>
          <x:t xml:space="preserve">Cost of sales</x:t>
        </x:is>
      </x:c>
      <x:c r="G5" s="2" t="inlineStr">
        <x:is>
          <x:t xml:space="preserve">Monthly contribution</x:t>
        </x:is>
      </x:c>
      <x:c r="H5" s="2" t="inlineStr">
        <x:is>
          <x:t xml:space="preserve">Annualised</x:t>
        </x:is>
      </x:c>
    </x:row>
    <x:row r="6">
      <x:c r="A6" s="3" t="inlineStr">
        <x:is>
          <x:t xml:space="preserve">Dine-in</x:t>
        </x:is>
      </x:c>
      <x:c r="B6" s="4" t="n"/>
      <x:c r="C6" s="4" t="n"/>
      <x:c r="D6" s="4" t="n"/>
      <x:c r="E6" s="4" t="n"/>
      <x:c r="F6" s="4" t="n">
        <x:f>IFERROR($B6*$C6,"")</x:f>
        <x:v>0</x:v>
      </x:c>
      <x:c r="G6" s="4" t="n">
        <x:f>IFERROR($B6-F6-$D6-$E6,"")</x:f>
        <x:v>0</x:v>
      </x:c>
      <x:c r="H6" s="4" t="n">
        <x:f>IFERROR(G6*12,"")</x:f>
        <x:v>0</x:v>
      </x:c>
    </x:row>
    <x:row r="7">
      <x:c r="A7" s="3" t="inlineStr">
        <x:is>
          <x:t xml:space="preserve">Delivery</x:t>
        </x:is>
      </x:c>
      <x:c r="B7" s="4" t="n"/>
      <x:c r="C7" s="4" t="n"/>
      <x:c r="D7" s="4" t="n"/>
      <x:c r="E7" s="4" t="n"/>
      <x:c r="F7" s="4" t="n">
        <x:f>IFERROR($B7*$C7,"")</x:f>
        <x:v>0</x:v>
      </x:c>
      <x:c r="G7" s="4" t="n">
        <x:f>IFERROR($B7-F7-$D7-$E7,"")</x:f>
        <x:v>0</x:v>
      </x:c>
      <x:c r="H7" s="4" t="n">
        <x:f>IFERROR(G7*12,"")</x:f>
        <x:v>0</x:v>
      </x:c>
    </x:row>
    <x:row r="8">
      <x:c r="A8" s="3" t="inlineStr">
        <x:is>
          <x:t xml:space="preserve">Collection</x:t>
        </x:is>
      </x:c>
      <x:c r="B8" s="4" t="n"/>
      <x:c r="C8" s="4" t="n"/>
      <x:c r="D8" s="4" t="n"/>
      <x:c r="E8" s="4" t="n"/>
      <x:c r="F8" s="4" t="n">
        <x:f>IFERROR($B8*$C8,"")</x:f>
        <x:v>0</x:v>
      </x:c>
      <x:c r="G8" s="4" t="n">
        <x:f>IFERROR($B8-F8-$D8-$E8,"")</x:f>
        <x:v>0</x:v>
      </x:c>
      <x:c r="H8" s="4" t="n">
        <x:f>IFERROR(G8*12,"")</x:f>
        <x:v>0</x:v>
      </x:c>
    </x:row>
    <x:row r="9">
      <x:c r="A9" s="3" t="n"/>
      <x:c r="B9" s="4" t="n"/>
      <x:c r="C9" s="4" t="n"/>
      <x:c r="D9" s="4" t="n"/>
      <x:c r="E9" s="4" t="n"/>
      <x:c r="F9" s="4" t="n">
        <x:f>IFERROR($B9*$C9,"")</x:f>
        <x:v>0</x:v>
      </x:c>
      <x:c r="G9" s="4" t="n">
        <x:f>IFERROR($B9-F9-$D9-$E9,"")</x:f>
        <x:v>0</x:v>
      </x:c>
      <x:c r="H9" s="4" t="n">
        <x:f>IFERROR(G9*12,"")</x:f>
        <x:v>0</x:v>
      </x:c>
    </x:row>
    <x:row r="10">
      <x:c r="A10" s="3" t="n"/>
      <x:c r="B10" s="4" t="n"/>
      <x:c r="C10" s="4" t="n"/>
      <x:c r="D10" s="4" t="n"/>
      <x:c r="E10" s="4" t="n"/>
      <x:c r="F10" s="4" t="n">
        <x:f>IFERROR($B10*$C10,"")</x:f>
        <x:v>0</x:v>
      </x:c>
      <x:c r="G10" s="4" t="n">
        <x:f>IFERROR($B10-F10-$D10-$E10,"")</x:f>
        <x:v>0</x:v>
      </x:c>
      <x:c r="H10" s="4" t="n">
        <x:f>IFERROR(G10*12,"")</x:f>
        <x:v>0</x:v>
      </x:c>
    </x:row>
    <x:row r="11">
      <x:c r="A11" s="3" t="n"/>
      <x:c r="B11" s="4" t="n"/>
      <x:c r="C11" s="4" t="n"/>
      <x:c r="D11" s="4" t="n"/>
      <x:c r="E11" s="4" t="n"/>
      <x:c r="F11" s="4" t="n">
        <x:f>IFERROR($B11*$C11,"")</x:f>
        <x:v>0</x:v>
      </x:c>
      <x:c r="G11" s="4" t="n">
        <x:f>IFERROR($B11-F11-$D11-$E11,"")</x:f>
        <x:v>0</x:v>
      </x:c>
      <x:c r="H11" s="4" t="n">
        <x:f>IFERROR(G11*12,"")</x:f>
        <x:v>0</x:v>
      </x:c>
    </x:row>
    <x:row r="12">
      <x:c r="A12" s="3" t="n"/>
      <x:c r="B12" s="4" t="n"/>
      <x:c r="C12" s="4" t="n"/>
      <x:c r="D12" s="4" t="n"/>
      <x:c r="E12" s="4" t="n"/>
      <x:c r="F12" s="4" t="n">
        <x:f>IFERROR($B12*$C12,"")</x:f>
        <x:v>0</x:v>
      </x:c>
      <x:c r="G12" s="4" t="n">
        <x:f>IFERROR($B12-F12-$D12-$E12,"")</x:f>
        <x:v>0</x:v>
      </x:c>
      <x:c r="H12" s="4" t="n">
        <x:f>IFERROR(G12*12,"")</x:f>
        <x:v>0</x:v>
      </x:c>
    </x:row>
    <x:row r="13">
      <x:c r="A13" s="3" t="n"/>
      <x:c r="B13" s="4" t="n"/>
      <x:c r="C13" s="4" t="n"/>
      <x:c r="D13" s="4" t="n"/>
      <x:c r="E13" s="4" t="n"/>
      <x:c r="F13" s="4" t="n">
        <x:f>IFERROR($B13*$C13,"")</x:f>
        <x:v>0</x:v>
      </x:c>
      <x:c r="G13" s="4" t="n">
        <x:f>IFERROR($B13-F13-$D13-$E13,"")</x:f>
        <x:v>0</x:v>
      </x:c>
      <x:c r="H13" s="4" t="n">
        <x:f>IFERROR(G13*12,"")</x:f>
        <x:v>0</x:v>
      </x:c>
    </x:row>
    <x:row r="14">
      <x:c r="A14" s="3" t="n"/>
      <x:c r="B14" s="4" t="n"/>
      <x:c r="C14" s="4" t="n"/>
      <x:c r="D14" s="4" t="n"/>
      <x:c r="E14" s="4" t="n"/>
      <x:c r="F14" s="4" t="n">
        <x:f>IFERROR($B14*$C14,"")</x:f>
        <x:v>0</x:v>
      </x:c>
      <x:c r="G14" s="4" t="n">
        <x:f>IFERROR($B14-F14-$D14-$E14,"")</x:f>
        <x:v>0</x:v>
      </x:c>
      <x:c r="H14" s="4" t="n">
        <x:f>IFERROR(G14*12,"")</x:f>
        <x:v>0</x:v>
      </x:c>
    </x:row>
    <x:row r="15">
      <x:c r="A15" s="3" t="n"/>
      <x:c r="B15" s="4" t="n"/>
      <x:c r="C15" s="4" t="n"/>
      <x:c r="D15" s="4" t="n"/>
      <x:c r="E15" s="4" t="n"/>
      <x:c r="F15" s="4" t="n">
        <x:f>IFERROR($B15*$C15,"")</x:f>
        <x:v>0</x:v>
      </x:c>
      <x:c r="G15" s="4" t="n">
        <x:f>IFERROR($B15-F15-$D15-$E15,"")</x:f>
        <x:v>0</x:v>
      </x:c>
      <x:c r="H15" s="4" t="n">
        <x:f>IFERROR(G15*12,"")</x:f>
        <x:v>0</x:v>
      </x:c>
    </x:row>
    <x:row r="16">
      <x:c r="A16" s="3" t="n"/>
      <x:c r="B16" s="4" t="n"/>
      <x:c r="C16" s="4" t="n"/>
      <x:c r="D16" s="4" t="n"/>
      <x:c r="E16" s="4" t="n"/>
      <x:c r="F16" s="4" t="n">
        <x:f>IFERROR($B16*$C16,"")</x:f>
        <x:v>0</x:v>
      </x:c>
      <x:c r="G16" s="4" t="n">
        <x:f>IFERROR($B16-F16-$D16-$E16,"")</x:f>
        <x:v>0</x:v>
      </x:c>
      <x:c r="H16" s="4" t="n">
        <x:f>IFERROR(G16*12,"")</x:f>
        <x:v>0</x:v>
      </x:c>
    </x:row>
    <x:row r="17">
      <x:c r="A17" s="3" t="n"/>
      <x:c r="B17" s="4" t="n"/>
      <x:c r="C17" s="4" t="n"/>
      <x:c r="D17" s="4" t="n"/>
      <x:c r="E17" s="4" t="n"/>
      <x:c r="F17" s="4" t="n">
        <x:f>IFERROR($B17*$C17,"")</x:f>
        <x:v>0</x:v>
      </x:c>
      <x:c r="G17" s="4" t="n">
        <x:f>IFERROR($B17-F17-$D17-$E17,"")</x:f>
        <x:v>0</x:v>
      </x:c>
      <x:c r="H17" s="4" t="n">
        <x:f>IFERROR(G17*12,"")</x:f>
        <x:v>0</x:v>
      </x:c>
    </x:row>
    <x:row r="18">
      <x:c r="A18" s="3" t="n"/>
      <x:c r="B18" s="4" t="n"/>
      <x:c r="C18" s="4" t="n"/>
      <x:c r="D18" s="4" t="n"/>
      <x:c r="E18" s="4" t="n"/>
      <x:c r="F18" s="4" t="n">
        <x:f>IFERROR($B18*$C18,"")</x:f>
        <x:v>0</x:v>
      </x:c>
      <x:c r="G18" s="4" t="n">
        <x:f>IFERROR($B18-F18-$D18-$E18,"")</x:f>
        <x:v>0</x:v>
      </x:c>
      <x:c r="H18" s="4" t="n">
        <x:f>IFERROR(G18*12,"")</x:f>
        <x:v>0</x:v>
      </x:c>
    </x:row>
    <x:row r="19">
      <x:c r="A19" s="3" t="n"/>
      <x:c r="B19" s="4" t="n"/>
      <x:c r="C19" s="4" t="n"/>
      <x:c r="D19" s="4" t="n"/>
      <x:c r="E19" s="4" t="n"/>
      <x:c r="F19" s="4" t="n">
        <x:f>IFERROR($B19*$C19,"")</x:f>
        <x:v>0</x:v>
      </x:c>
      <x:c r="G19" s="4" t="n">
        <x:f>IFERROR($B19-F19-$D19-$E19,"")</x:f>
        <x:v>0</x:v>
      </x:c>
      <x:c r="H19" s="4" t="n">
        <x:f>IFERROR(G19*12,"")</x:f>
        <x:v>0</x:v>
      </x:c>
    </x:row>
    <x:row r="20">
      <x:c r="A20" s="3" t="n"/>
      <x:c r="B20" s="4" t="n"/>
      <x:c r="C20" s="4" t="n"/>
      <x:c r="D20" s="4" t="n"/>
      <x:c r="E20" s="4" t="n"/>
      <x:c r="F20" s="4" t="n">
        <x:f>IFERROR($B20*$C20,"")</x:f>
        <x:v>0</x:v>
      </x:c>
      <x:c r="G20" s="4" t="n">
        <x:f>IFERROR($B20-F20-$D20-$E20,"")</x:f>
        <x:v>0</x:v>
      </x:c>
      <x:c r="H20" s="4" t="n">
        <x:f>IFERROR(G20*12,"")</x:f>
        <x:v>0</x:v>
      </x:c>
    </x:row>
    <x:row r="21">
      <x:c r="A21" s="3" t="n"/>
      <x:c r="B21" s="4" t="n"/>
      <x:c r="C21" s="4" t="n"/>
      <x:c r="D21" s="4" t="n"/>
      <x:c r="E21" s="4" t="n"/>
      <x:c r="F21" s="4" t="n">
        <x:f>IFERROR($B21*$C21,"")</x:f>
        <x:v>0</x:v>
      </x:c>
      <x:c r="G21" s="4" t="n">
        <x:f>IFERROR($B21-F21-$D21-$E21,"")</x:f>
        <x:v>0</x:v>
      </x:c>
      <x:c r="H21" s="4" t="n">
        <x:f>IFERROR(G21*12,"")</x:f>
        <x:v>0</x:v>
      </x:c>
    </x:row>
    <x:row r="22">
      <x:c r="A22" s="3" t="n"/>
      <x:c r="B22" s="4" t="n"/>
      <x:c r="C22" s="4" t="n"/>
      <x:c r="D22" s="4" t="n"/>
      <x:c r="E22" s="4" t="n"/>
      <x:c r="F22" s="4" t="n">
        <x:f>IFERROR($B22*$C22,"")</x:f>
        <x:v>0</x:v>
      </x:c>
      <x:c r="G22" s="4" t="n">
        <x:f>IFERROR($B22-F22-$D22-$E22,"")</x:f>
        <x:v>0</x:v>
      </x:c>
      <x:c r="H22" s="4" t="n">
        <x:f>IFERROR(G22*12,"")</x:f>
        <x:v>0</x:v>
      </x:c>
    </x:row>
    <x:row r="23">
      <x:c r="A23" s="3" t="n"/>
      <x:c r="B23" s="4" t="n"/>
      <x:c r="C23" s="4" t="n"/>
      <x:c r="D23" s="4" t="n"/>
      <x:c r="E23" s="4" t="n"/>
      <x:c r="F23" s="4" t="n">
        <x:f>IFERROR($B23*$C23,"")</x:f>
        <x:v>0</x:v>
      </x:c>
      <x:c r="G23" s="4" t="n">
        <x:f>IFERROR($B23-F23-$D23-$E23,"")</x:f>
        <x:v>0</x:v>
      </x:c>
      <x:c r="H23" s="4" t="n">
        <x:f>IFERROR(G23*12,"")</x:f>
        <x:v>0</x:v>
      </x:c>
    </x:row>
    <x:row r="24">
      <x:c r="A24" s="3" t="n"/>
      <x:c r="B24" s="4" t="n"/>
      <x:c r="C24" s="4" t="n"/>
      <x:c r="D24" s="4" t="n"/>
      <x:c r="E24" s="4" t="n"/>
      <x:c r="F24" s="4" t="n">
        <x:f>IFERROR($B24*$C24,"")</x:f>
        <x:v>0</x:v>
      </x:c>
      <x:c r="G24" s="4" t="n">
        <x:f>IFERROR($B24-F24-$D24-$E24,"")</x:f>
        <x:v>0</x:v>
      </x:c>
      <x:c r="H24" s="4" t="n">
        <x:f>IFERROR(G24*12,"")</x:f>
        <x:v>0</x:v>
      </x:c>
    </x:row>
    <x:row r="25">
      <x:c r="A25" s="3" t="n"/>
      <x:c r="B25" s="4" t="n"/>
      <x:c r="C25" s="4" t="n"/>
      <x:c r="D25" s="4" t="n"/>
      <x:c r="E25" s="4" t="n"/>
      <x:c r="F25" s="4" t="n">
        <x:f>IFERROR($B25*$C25,"")</x:f>
        <x:v>0</x:v>
      </x:c>
      <x:c r="G25" s="4" t="n">
        <x:f>IFERROR($B25-F25-$D25-$E25,"")</x:f>
        <x:v>0</x:v>
      </x:c>
      <x:c r="H25" s="4" t="n">
        <x:f>IFERROR(G25*12,"")</x:f>
        <x:v>0</x:v>
      </x:c>
    </x:row>
  </x:sheetData>
  <x:pageMargins left="0.7" right="0.7" top="0.75" bottom="0.75" header="0.3" footer="0.3"/>
  <x:drawing xmlns:r="http://schemas.openxmlformats.org/officeDocument/2006/relationships" r:id="R6944398660f84566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  <x:col min="3" max="3" width="18" customWidth="1"/>
    <x:col min="4" max="4" width="18" customWidth="1"/>
  </x:cols>
  <x:sheetData>
    <x:row r="1" ht="48" customHeight="1"/>
    <x:row r="2">
      <x:c r="A2" s="1" t="inlineStr">
        <x:is>
          <x:t xml:space="preserve">Noriva Annual Budget Model</x:t>
        </x:is>
      </x:c>
    </x:row>
    <x:row r="5">
      <x:c r="A5" s="2" t="inlineStr">
        <x:is>
          <x:t xml:space="preserve">Driver</x:t>
        </x:is>
      </x:c>
      <x:c r="B5" s="2" t="inlineStr">
        <x:is>
          <x:t xml:space="preserve">Base</x:t>
        </x:is>
      </x:c>
      <x:c r="C5" s="2" t="inlineStr">
        <x:is>
          <x:t xml:space="preserve">Downside</x:t>
        </x:is>
      </x:c>
      <x:c r="D5" s="2" t="inlineStr">
        <x:is>
          <x:t xml:space="preserve">Active</x:t>
        </x:is>
      </x:c>
    </x:row>
    <x:row r="6">
      <x:c r="A6" s="3" t="inlineStr">
        <x:is>
          <x:t xml:space="preserve">Downside revenue factor</x:t>
        </x:is>
      </x:c>
      <x:c r="B6" s="4" t="n">
        <x:v>0.9</x:v>
      </x:c>
      <x:c r="C6" s="4" t="n"/>
      <x:c r="D6" s="4" t="n">
        <x:f>B6</x:f>
        <x:v>0.9</x:v>
      </x:c>
    </x:row>
    <x:row r="7">
      <x:c r="A7" s="3" t="inlineStr">
        <x:is>
          <x:t xml:space="preserve">Downside cost-of-sales uplift</x:t>
        </x:is>
      </x:c>
      <x:c r="B7" s="4" t="n">
        <x:v>0.03</x:v>
      </x:c>
      <x:c r="C7" s="4" t="n"/>
      <x:c r="D7" s="4" t="n">
        <x:f>B7</x:f>
        <x:v>0.03</x:v>
      </x:c>
    </x:row>
  </x:sheetData>
  <x:pageMargins left="0.7" right="0.7" top="0.75" bottom="0.75" header="0.3" footer="0.3"/>
  <x:drawing xmlns:r="http://schemas.openxmlformats.org/officeDocument/2006/relationships" r:id="R69404f03546a4e36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</x:cols>
  <x:sheetData>
    <x:row r="1" ht="48" customHeight="1"/>
    <x:row r="2">
      <x:c r="A2" s="1" t="inlineStr">
        <x:is>
          <x:t xml:space="preserve">Noriva Annual Budget Model</x:t>
        </x:is>
      </x:c>
    </x:row>
    <x:row r="5">
      <x:c r="A5" s="2" t="inlineStr">
        <x:is>
          <x:t xml:space="preserve">Metric</x:t>
        </x:is>
      </x:c>
      <x:c r="B5" s="2" t="inlineStr">
        <x:is>
          <x:t xml:space="preserve">Result</x:t>
        </x:is>
      </x:c>
    </x:row>
    <x:row r="6">
      <x:c r="A6" s="3" t="inlineStr">
        <x:is>
          <x:t xml:space="preserve">Segments entered</x:t>
        </x:is>
      </x:c>
      <x:c r="B6" s="4" t="n">
        <x:f>COUNTA(Inputs!A6:A25)</x:f>
        <x:v>3</x:v>
      </x:c>
    </x:row>
    <x:row r="7">
      <x:c r="A7" s="3" t="inlineStr">
        <x:is>
          <x:t xml:space="preserve">Monthly revenue</x:t>
        </x:is>
      </x:c>
      <x:c r="B7" s="4" t="n">
        <x:f>SUM(Inputs!B6:B25)</x:f>
        <x:v>0</x:v>
      </x:c>
    </x:row>
    <x:row r="8">
      <x:c r="A8" s="3" t="inlineStr">
        <x:is>
          <x:t xml:space="preserve">Monthly contribution</x:t>
        </x:is>
      </x:c>
      <x:c r="B8" s="4" t="n">
        <x:f>SUM(Inputs!G6:G25)</x:f>
        <x:v>0</x:v>
      </x:c>
    </x:row>
    <x:row r="9">
      <x:c r="A9" s="3" t="inlineStr">
        <x:is>
          <x:t xml:space="preserve">Annualised contribution</x:t>
        </x:is>
      </x:c>
      <x:c r="B9" s="4" t="n">
        <x:f>SUM(Inputs!H6:H25)</x:f>
        <x:v>0</x:v>
      </x:c>
    </x:row>
    <x:row r="10">
      <x:c r="A10" s="3" t="inlineStr">
        <x:is>
          <x:t xml:space="preserve">Contribution margin</x:t>
        </x:is>
      </x:c>
      <x:c r="B10" s="4" t="n">
        <x:f>IFERROR(B7/B6,"")</x:f>
        <x:v>0</x:v>
      </x:c>
    </x:row>
  </x:sheetData>
  <x:pageMargins left="0.7" right="0.7" top="0.75" bottom="0.75" header="0.3" footer="0.3"/>
  <x:drawing xmlns:r="http://schemas.openxmlformats.org/officeDocument/2006/relationships" r:id="R5ca23a97bd674625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96" customWidth="1"/>
  </x:cols>
  <x:sheetData>
    <x:row r="1" ht="48" customHeight="1"/>
    <x:row r="2">
      <x:c r="A2" s="1" t="inlineStr">
        <x:is>
          <x:t xml:space="preserve">Noriva Annual Budget Model</x:t>
        </x:is>
      </x:c>
    </x:row>
    <x:row r="4">
      <x:c r="A4" s="5" t="inlineStr">
        <x:is>
          <x:t xml:space="preserve">How to use this workbook</x:t>
        </x:is>
      </x:c>
    </x:row>
    <x:row r="6">
      <x:c r="A6" s="3" t="n">
        <x:v>1</x:v>
      </x:c>
      <x:c r="B6" s="3" t="inlineStr">
        <x:is>
          <x:t xml:space="preserve">Replace sample rows with your verified business data.</x:t>
        </x:is>
      </x:c>
    </x:row>
    <x:row r="7">
      <x:c r="A7" s="3" t="n">
        <x:v>2</x:v>
      </x:c>
      <x:c r="B7" s="3" t="inlineStr">
        <x:is>
          <x:t xml:space="preserve">Yellow and blue-font cells are intended for user inputs; calculated cells contain formulas.</x:t>
        </x:is>
      </x:c>
    </x:row>
    <x:row r="8">
      <x:c r="A8" s="3" t="n">
        <x:v>3</x:v>
      </x:c>
      <x:c r="B8" s="3" t="inlineStr">
        <x:is>
          <x:t xml:space="preserve">Review the Summary after completing the input table.</x:t>
        </x:is>
      </x:c>
    </x:row>
    <x:row r="9">
      <x:c r="A9" s="3" t="n">
        <x:v>4</x:v>
      </x:c>
      <x:c r="B9" s="3" t="inlineStr">
        <x:is>
          <x:t xml:space="preserve">Do not use sample values as market facts or investment advice.</x:t>
        </x:is>
      </x:c>
    </x:row>
  </x:sheetData>
  <x:pageMargins left="0.7" right="0.7" top="0.75" bottom="0.75" header="0.3" footer="0.3"/>
  <x:drawing xmlns:r="http://schemas.openxmlformats.org/officeDocument/2006/relationships" r:id="R92c2f2dfa66949f3"/>
</x:worksheet>
</file>