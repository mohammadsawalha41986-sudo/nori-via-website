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Instruc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FF17324D"/>
      <sz val="12"/>
    </font>
    <font>
      <b val="1"/>
      <color rgb="FFFFFFFF"/>
      <sz val="10"/>
    </font>
    <font>
      <color rgb="FF1F2933"/>
      <sz val="10"/>
    </font>
    <font>
      <color rgb="FF0070C0"/>
      <sz val="10"/>
    </font>
    <font>
      <b val="1"/>
      <color rgb="FF17324D"/>
      <sz val="10"/>
    </font>
  </fonts>
  <fills count="3">
    <fill>
      <patternFill/>
    </fill>
    <fill>
      <patternFill patternType="gray125"/>
    </fill>
    <fill>
      <patternFill patternType="solid">
        <fgColor rgb="FF17324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</cols>
  <sheetData>
    <row r="2">
      <c r="A2" s="1" t="inlineStr">
        <is>
          <t>Noriva Social Media Content Planner</t>
        </is>
      </c>
    </row>
    <row r="5">
      <c r="A5" s="2" t="inlineStr">
        <is>
          <t>Publish date</t>
        </is>
      </c>
      <c r="B5" s="2" t="inlineStr">
        <is>
          <t>Content pillar</t>
        </is>
      </c>
      <c r="C5" s="2" t="inlineStr">
        <is>
          <t>Format</t>
        </is>
      </c>
      <c r="D5" s="2" t="inlineStr">
        <is>
          <t>Caption language</t>
        </is>
      </c>
      <c r="E5" s="2" t="inlineStr">
        <is>
          <t>Production day</t>
        </is>
      </c>
      <c r="F5" s="2" t="inlineStr">
        <is>
          <t>Reach</t>
        </is>
      </c>
      <c r="G5" s="2" t="inlineStr">
        <is>
          <t>Engagements</t>
        </is>
      </c>
      <c r="H5" s="2" t="inlineStr">
        <is>
          <t>Engagement rate</t>
        </is>
      </c>
      <c r="I5" s="2" t="inlineStr">
        <is>
          <t>Published</t>
        </is>
      </c>
    </row>
    <row r="6">
      <c r="A6" s="3" t="n"/>
      <c r="B6" s="4" t="inlineStr">
        <is>
          <t>Pillar A</t>
        </is>
      </c>
      <c r="C6" s="4" t="inlineStr">
        <is>
          <t>Reel</t>
        </is>
      </c>
      <c r="D6" s="4" t="inlineStr">
        <is>
          <t>AR</t>
        </is>
      </c>
      <c r="E6" s="4" t="n"/>
      <c r="F6" s="4" t="n"/>
      <c r="G6" s="4" t="n"/>
      <c r="H6" s="4">
        <f>IFERROR(G6/F6,"")</f>
        <v/>
      </c>
      <c r="I6" s="4">
        <f>IF(A6="","",IF(F6="","planned","published"))</f>
        <v/>
      </c>
    </row>
    <row r="7">
      <c r="A7" s="3" t="n"/>
      <c r="B7" s="4" t="inlineStr">
        <is>
          <t>Pillar B</t>
        </is>
      </c>
      <c r="C7" s="4" t="inlineStr">
        <is>
          <t>Carousel</t>
        </is>
      </c>
      <c r="D7" s="4" t="inlineStr">
        <is>
          <t>EN</t>
        </is>
      </c>
      <c r="E7" s="4" t="n"/>
      <c r="F7" s="4" t="n"/>
      <c r="G7" s="4" t="n"/>
      <c r="H7" s="4">
        <f>IFERROR(G7/F7,"")</f>
        <v/>
      </c>
      <c r="I7" s="4">
        <f>IF(A7="","",IF(F7="","planned","published"))</f>
        <v/>
      </c>
    </row>
    <row r="8">
      <c r="A8" s="3" t="n"/>
      <c r="B8" s="4" t="inlineStr">
        <is>
          <t>Pillar C</t>
        </is>
      </c>
      <c r="C8" s="4" t="inlineStr">
        <is>
          <t>Photo</t>
        </is>
      </c>
      <c r="D8" s="4" t="inlineStr">
        <is>
          <t>AR + EN</t>
        </is>
      </c>
      <c r="E8" s="4" t="n"/>
      <c r="F8" s="4" t="n"/>
      <c r="G8" s="4" t="n"/>
      <c r="H8" s="4">
        <f>IFERROR(G8/F8,"")</f>
        <v/>
      </c>
      <c r="I8" s="4">
        <f>IF(A8="","",IF(F8="","planned","published"))</f>
        <v/>
      </c>
    </row>
    <row r="9">
      <c r="A9" s="3" t="n"/>
      <c r="B9" s="4" t="n"/>
      <c r="C9" s="4" t="n"/>
      <c r="D9" s="4" t="n"/>
      <c r="E9" s="4" t="n"/>
      <c r="F9" s="4" t="n"/>
      <c r="G9" s="4" t="n"/>
      <c r="H9" s="4">
        <f>IFERROR(G9/F9,"")</f>
        <v/>
      </c>
      <c r="I9" s="4">
        <f>IF(A9="","",IF(F9="","planned","published"))</f>
        <v/>
      </c>
    </row>
    <row r="10">
      <c r="A10" s="3" t="n"/>
      <c r="B10" s="4" t="n"/>
      <c r="C10" s="4" t="n"/>
      <c r="D10" s="4" t="n"/>
      <c r="E10" s="4" t="n"/>
      <c r="F10" s="4" t="n"/>
      <c r="G10" s="4" t="n"/>
      <c r="H10" s="4">
        <f>IFERROR(G10/F10,"")</f>
        <v/>
      </c>
      <c r="I10" s="4">
        <f>IF(A10="","",IF(F10="","planned","published"))</f>
        <v/>
      </c>
    </row>
    <row r="11">
      <c r="A11" s="3" t="n"/>
      <c r="B11" s="4" t="n"/>
      <c r="C11" s="4" t="n"/>
      <c r="D11" s="4" t="n"/>
      <c r="E11" s="4" t="n"/>
      <c r="F11" s="4" t="n"/>
      <c r="G11" s="4" t="n"/>
      <c r="H11" s="4">
        <f>IFERROR(G11/F11,"")</f>
        <v/>
      </c>
      <c r="I11" s="4">
        <f>IF(A11="","",IF(F11="","planned","published"))</f>
        <v/>
      </c>
    </row>
    <row r="12">
      <c r="A12" s="3" t="n"/>
      <c r="B12" s="4" t="n"/>
      <c r="C12" s="4" t="n"/>
      <c r="D12" s="4" t="n"/>
      <c r="E12" s="4" t="n"/>
      <c r="F12" s="4" t="n"/>
      <c r="G12" s="4" t="n"/>
      <c r="H12" s="4">
        <f>IFERROR(G12/F12,"")</f>
        <v/>
      </c>
      <c r="I12" s="4">
        <f>IF(A12="","",IF(F12="","planned","published"))</f>
        <v/>
      </c>
    </row>
    <row r="13">
      <c r="A13" s="3" t="n"/>
      <c r="B13" s="4" t="n"/>
      <c r="C13" s="4" t="n"/>
      <c r="D13" s="4" t="n"/>
      <c r="E13" s="4" t="n"/>
      <c r="F13" s="4" t="n"/>
      <c r="G13" s="4" t="n"/>
      <c r="H13" s="4">
        <f>IFERROR(G13/F13,"")</f>
        <v/>
      </c>
      <c r="I13" s="4">
        <f>IF(A13="","",IF(F13="","planned","published"))</f>
        <v/>
      </c>
    </row>
    <row r="14">
      <c r="A14" s="3" t="n"/>
      <c r="B14" s="4" t="n"/>
      <c r="C14" s="4" t="n"/>
      <c r="D14" s="4" t="n"/>
      <c r="E14" s="4" t="n"/>
      <c r="F14" s="4" t="n"/>
      <c r="G14" s="4" t="n"/>
      <c r="H14" s="4">
        <f>IFERROR(G14/F14,"")</f>
        <v/>
      </c>
      <c r="I14" s="4">
        <f>IF(A14="","",IF(F14="","planned","published"))</f>
        <v/>
      </c>
    </row>
    <row r="15">
      <c r="A15" s="3" t="n"/>
      <c r="B15" s="4" t="n"/>
      <c r="C15" s="4" t="n"/>
      <c r="D15" s="4" t="n"/>
      <c r="E15" s="4" t="n"/>
      <c r="F15" s="4" t="n"/>
      <c r="G15" s="4" t="n"/>
      <c r="H15" s="4">
        <f>IFERROR(G15/F15,"")</f>
        <v/>
      </c>
      <c r="I15" s="4">
        <f>IF(A15="","",IF(F15="","planned","published"))</f>
        <v/>
      </c>
    </row>
    <row r="16">
      <c r="A16" s="3" t="n"/>
      <c r="B16" s="4" t="n"/>
      <c r="C16" s="4" t="n"/>
      <c r="D16" s="4" t="n"/>
      <c r="E16" s="4" t="n"/>
      <c r="F16" s="4" t="n"/>
      <c r="G16" s="4" t="n"/>
      <c r="H16" s="4">
        <f>IFERROR(G16/F16,"")</f>
        <v/>
      </c>
      <c r="I16" s="4">
        <f>IF(A16="","",IF(F16="","planned","published"))</f>
        <v/>
      </c>
    </row>
    <row r="17">
      <c r="A17" s="3" t="n"/>
      <c r="B17" s="4" t="n"/>
      <c r="C17" s="4" t="n"/>
      <c r="D17" s="4" t="n"/>
      <c r="E17" s="4" t="n"/>
      <c r="F17" s="4" t="n"/>
      <c r="G17" s="4" t="n"/>
      <c r="H17" s="4">
        <f>IFERROR(G17/F17,"")</f>
        <v/>
      </c>
      <c r="I17" s="4">
        <f>IF(A17="","",IF(F17="","planned","published"))</f>
        <v/>
      </c>
    </row>
    <row r="18">
      <c r="A18" s="3" t="n"/>
      <c r="B18" s="4" t="n"/>
      <c r="C18" s="4" t="n"/>
      <c r="D18" s="4" t="n"/>
      <c r="E18" s="4" t="n"/>
      <c r="F18" s="4" t="n"/>
      <c r="G18" s="4" t="n"/>
      <c r="H18" s="4">
        <f>IFERROR(G18/F18,"")</f>
        <v/>
      </c>
      <c r="I18" s="4">
        <f>IF(A18="","",IF(F18="","planned","published"))</f>
        <v/>
      </c>
    </row>
    <row r="19">
      <c r="A19" s="3" t="n"/>
      <c r="B19" s="4" t="n"/>
      <c r="C19" s="4" t="n"/>
      <c r="D19" s="4" t="n"/>
      <c r="E19" s="4" t="n"/>
      <c r="F19" s="4" t="n"/>
      <c r="G19" s="4" t="n"/>
      <c r="H19" s="4">
        <f>IFERROR(G19/F19,"")</f>
        <v/>
      </c>
      <c r="I19" s="4">
        <f>IF(A19="","",IF(F19="","planned","published"))</f>
        <v/>
      </c>
    </row>
    <row r="20">
      <c r="A20" s="3" t="n"/>
      <c r="B20" s="4" t="n"/>
      <c r="C20" s="4" t="n"/>
      <c r="D20" s="4" t="n"/>
      <c r="E20" s="4" t="n"/>
      <c r="F20" s="4" t="n"/>
      <c r="G20" s="4" t="n"/>
      <c r="H20" s="4">
        <f>IFERROR(G20/F20,"")</f>
        <v/>
      </c>
      <c r="I20" s="4">
        <f>IF(A20="","",IF(F20="","planned","published"))</f>
        <v/>
      </c>
    </row>
    <row r="21">
      <c r="A21" s="3" t="n"/>
      <c r="B21" s="4" t="n"/>
      <c r="C21" s="4" t="n"/>
      <c r="D21" s="4" t="n"/>
      <c r="E21" s="4" t="n"/>
      <c r="F21" s="4" t="n"/>
      <c r="G21" s="4" t="n"/>
      <c r="H21" s="4">
        <f>IFERROR(G21/F21,"")</f>
        <v/>
      </c>
      <c r="I21" s="4">
        <f>IF(A21="","",IF(F21="","planned","published"))</f>
        <v/>
      </c>
    </row>
    <row r="22">
      <c r="A22" s="3" t="n"/>
      <c r="B22" s="4" t="n"/>
      <c r="C22" s="4" t="n"/>
      <c r="D22" s="4" t="n"/>
      <c r="E22" s="4" t="n"/>
      <c r="F22" s="4" t="n"/>
      <c r="G22" s="4" t="n"/>
      <c r="H22" s="4">
        <f>IFERROR(G22/F22,"")</f>
        <v/>
      </c>
      <c r="I22" s="4">
        <f>IF(A22="","",IF(F22="","planned","published"))</f>
        <v/>
      </c>
    </row>
    <row r="23">
      <c r="A23" s="3" t="n"/>
      <c r="B23" s="4" t="n"/>
      <c r="C23" s="4" t="n"/>
      <c r="D23" s="4" t="n"/>
      <c r="E23" s="4" t="n"/>
      <c r="F23" s="4" t="n"/>
      <c r="G23" s="4" t="n"/>
      <c r="H23" s="4">
        <f>IFERROR(G23/F23,"")</f>
        <v/>
      </c>
      <c r="I23" s="4">
        <f>IF(A23="","",IF(F23="","planned","published"))</f>
        <v/>
      </c>
    </row>
    <row r="24">
      <c r="A24" s="3" t="n"/>
      <c r="B24" s="4" t="n"/>
      <c r="C24" s="4" t="n"/>
      <c r="D24" s="4" t="n"/>
      <c r="E24" s="4" t="n"/>
      <c r="F24" s="4" t="n"/>
      <c r="G24" s="4" t="n"/>
      <c r="H24" s="4">
        <f>IFERROR(G24/F24,"")</f>
        <v/>
      </c>
      <c r="I24" s="4">
        <f>IF(A24="","",IF(F24="","planned","published"))</f>
        <v/>
      </c>
    </row>
    <row r="25">
      <c r="A25" s="3" t="n"/>
      <c r="B25" s="4" t="n"/>
      <c r="C25" s="4" t="n"/>
      <c r="D25" s="4" t="n"/>
      <c r="E25" s="4" t="n"/>
      <c r="F25" s="4" t="n"/>
      <c r="G25" s="4" t="n"/>
      <c r="H25" s="4">
        <f>IFERROR(G25/F25,"")</f>
        <v/>
      </c>
      <c r="I25" s="4">
        <f>IF(A25="","",IF(F25="","planned","published"))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B10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</cols>
  <sheetData>
    <row r="2">
      <c r="A2" s="1" t="inlineStr">
        <is>
          <t>Noriva Social Media Content Planner</t>
        </is>
      </c>
    </row>
    <row r="5">
      <c r="A5" s="2" t="inlineStr">
        <is>
          <t>Metric</t>
        </is>
      </c>
      <c r="B5" s="2" t="inlineStr">
        <is>
          <t>Result</t>
        </is>
      </c>
    </row>
    <row r="6">
      <c r="A6" s="3" t="inlineStr">
        <is>
          <t>Posts planned</t>
        </is>
      </c>
      <c r="B6" s="4">
        <f>COUNTA(Inputs!B6:B25)</f>
        <v/>
      </c>
    </row>
    <row r="7">
      <c r="A7" s="3" t="inlineStr">
        <is>
          <t>Posts published</t>
        </is>
      </c>
      <c r="B7" s="4">
        <f>COUNTIF(Inputs!I6:I25,"published")</f>
        <v/>
      </c>
    </row>
    <row r="8">
      <c r="A8" s="3" t="inlineStr">
        <is>
          <t>Total reach</t>
        </is>
      </c>
      <c r="B8" s="4">
        <f>SUM(Inputs!F6:F25)</f>
        <v/>
      </c>
    </row>
    <row r="9">
      <c r="A9" s="3" t="inlineStr">
        <is>
          <t>Total engagements</t>
        </is>
      </c>
      <c r="B9" s="4">
        <f>SUM(Inputs!G6:G25)</f>
        <v/>
      </c>
    </row>
    <row r="10">
      <c r="A10" s="3" t="inlineStr">
        <is>
          <t>Average engagement rate</t>
        </is>
      </c>
      <c r="B10" s="4">
        <f>IFERROR(B9/B8,"")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B9"/>
  <sheetViews>
    <sheetView workbookViewId="0">
      <selection activeCell="A1" sqref="A1"/>
    </sheetView>
  </sheetViews>
  <sheetFormatPr baseColWidth="8" defaultRowHeight="15"/>
  <cols>
    <col width="22" customWidth="1" min="1" max="1"/>
    <col width="96" customWidth="1" min="2" max="2"/>
  </cols>
  <sheetData>
    <row r="2">
      <c r="A2" s="1" t="inlineStr">
        <is>
          <t>Noriva Social Media Content Planner</t>
        </is>
      </c>
    </row>
    <row r="4">
      <c r="A4" s="5" t="inlineStr">
        <is>
          <t>How to use this workbook</t>
        </is>
      </c>
    </row>
    <row r="6">
      <c r="A6" s="3" t="n">
        <v>1</v>
      </c>
      <c r="B6" s="3" t="inlineStr">
        <is>
          <t>Replace sample rows with your verified business data.</t>
        </is>
      </c>
    </row>
    <row r="7">
      <c r="A7" s="3" t="n">
        <v>2</v>
      </c>
      <c r="B7" s="3" t="inlineStr">
        <is>
          <t>Yellow and blue-font cells are intended for user inputs; calculated cells contain formulas.</t>
        </is>
      </c>
    </row>
    <row r="8">
      <c r="A8" s="3" t="n">
        <v>3</v>
      </c>
      <c r="B8" s="3" t="inlineStr">
        <is>
          <t>Review the Summary after completing the input table.</t>
        </is>
      </c>
    </row>
    <row r="9">
      <c r="A9" s="3" t="n">
        <v>4</v>
      </c>
      <c r="B9" s="3" t="inlineStr">
        <is>
          <t>Do not use sample values as market facts or investment advice.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2026-09-09T05:48:08Z</dcterms:created>
  <dcterms:modified xmlns:dcterms="http://purl.org/dc/terms/" xmlns:xsi="http://www.w3.org/2001/XMLSchema-instance" xsi:type="dcterms:W3CDTF">2026-09-09T05:48:08Z</dcterms:modified>
</cp:coreProperties>
</file>