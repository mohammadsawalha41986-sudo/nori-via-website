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57ca48e2cc47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1fc10ab9e49c4f3d"/>
    <x:sheet xmlns:r="http://schemas.openxmlformats.org/officeDocument/2006/relationships" name="Summary" sheetId="2" r:id="R20f938c4e36a4b9f"/>
    <x:sheet xmlns:r="http://schemas.openxmlformats.org/officeDocument/2006/relationships" name="Instructions" sheetId="3" r:id="R9ca94ef1fcd243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#,##0.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0" fontId="1" fillId="0" borderId="2" xfId="0" applyNumberFormat="1" applyFont="1" applyFill="1" applyBorder="1"/>
    <x:xf numFmtId="201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76154cb72d42c3" /><Relationship Type="http://schemas.openxmlformats.org/officeDocument/2006/relationships/theme" Target="/xl/theme/theme1.xml" Id="R9481715b403a435f" /><Relationship Type="http://schemas.openxmlformats.org/officeDocument/2006/relationships/sharedStrings" Target="/xl/sharedStrings.xml" Id="R41d746271ef145f7" /><Relationship Type="http://schemas.openxmlformats.org/officeDocument/2006/relationships/worksheet" Target="/xl/worksheets/sheet1.xml" Id="R1fc10ab9e49c4f3d" /><Relationship Type="http://schemas.openxmlformats.org/officeDocument/2006/relationships/worksheet" Target="/xl/worksheets/sheet2.xml" Id="R20f938c4e36a4b9f" /><Relationship Type="http://schemas.openxmlformats.org/officeDocument/2006/relationships/worksheet" Target="/xl/worksheets/sheet3.xml" Id="R9ca94ef1fcd2438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Menu Pricing Calculator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Menu item</x:v>
      </x:c>
      <x:c r="B5" s="8" t="str">
        <x:v>Direct cost</x:v>
      </x:c>
      <x:c r="C5" s="8" t="str">
        <x:v>Target food cost %</x:v>
      </x:c>
      <x:c r="D5" s="8" t="str">
        <x:v>Calculated price</x:v>
      </x:c>
      <x:c r="E5" s="8" t="str">
        <x:v>Test price</x:v>
      </x:c>
      <x:c r="F5" s="8" t="str">
        <x:v>Actual food cost %</x:v>
      </x:c>
      <x:c r="G5" s="8" t="str">
        <x:v>Contribution</x:v>
      </x:c>
      <x:c r="H5" s="8" t="str">
        <x:v>Notes</x:v>
      </x:c>
      <x:c r="I5" s="1"/>
      <x:c r="J5" s="1"/>
      <x:c r="K5" s="1"/>
    </x:row>
    <x:row r="6" ht="15" hidden="0" customHeight="1">
      <x:c r="A6" s="15" t="str">
        <x:v>Item A</x:v>
      </x:c>
      <x:c r="B6" s="16" t="n">
        <x:v>14</x:v>
      </x:c>
      <x:c r="C6" s="16" t="n">
        <x:v>0.3</x:v>
      </x:c>
      <x:c r="D6" s="16" t="n">
        <x:f>IFERROR(B6/C6,"")</x:f>
        <x:v>46.66666666666667</x:v>
      </x:c>
      <x:c r="E6" s="16" t="n">
        <x:f>IFERROR(B6/C6,"")</x:f>
        <x:v>46.66666666666667</x:v>
      </x:c>
      <x:c r="F6" s="16" t="n">
        <x:f>IFERROR(B6/E6,"")</x:f>
        <x:v>0.3</x:v>
      </x:c>
      <x:c r="G6" s="16" t="n">
        <x:f>IFERROR(E6-B6,"")</x:f>
        <x:v>32.66666666666667</x:v>
      </x:c>
      <x:c r="H6" s="15" t="str">
        <x:v>Round for menu architecture</x:v>
      </x:c>
      <x:c r="I6" s="1"/>
      <x:c r="J6" s="1"/>
      <x:c r="K6" s="1"/>
    </x:row>
    <x:row r="7" ht="15" hidden="0" customHeight="1">
      <x:c r="A7" s="15" t="str">
        <x:v>Item B</x:v>
      </x:c>
      <x:c r="B7" s="16" t="n">
        <x:v>11</x:v>
      </x:c>
      <x:c r="C7" s="16" t="n">
        <x:v>0.28</x:v>
      </x:c>
      <x:c r="D7" s="16" t="n">
        <x:f>IFERROR(B7/C7,"")</x:f>
        <x:v>39.285714285714285</x:v>
      </x:c>
      <x:c r="E7" s="16" t="n">
        <x:v>42</x:v>
      </x:c>
      <x:c r="F7" s="16" t="n">
        <x:f>IFERROR(B7/E7,"")</x:f>
        <x:v>0.2619047619047619</x:v>
      </x:c>
      <x:c r="G7" s="16" t="n">
        <x:f>IFERROR(E7-B7,"")</x:f>
        <x:v>31</x:v>
      </x:c>
      <x:c r="H7" s="15" t="str"/>
      <x:c r="I7" s="1"/>
      <x:c r="J7" s="1"/>
      <x:c r="K7" s="1"/>
    </x:row>
    <x:row r="8" ht="15" hidden="0" customHeight="1">
      <x:c r="A8" s="15" t="str">
        <x:v>Item C</x:v>
      </x:c>
      <x:c r="B8" s="16" t="n">
        <x:v>8</x:v>
      </x:c>
      <x:c r="C8" s="16" t="n">
        <x:v>0.25</x:v>
      </x:c>
      <x:c r="D8" s="16" t="n">
        <x:f>IFERROR(B8/C8,"")</x:f>
        <x:v>32</x:v>
      </x:c>
      <x:c r="E8" s="16" t="n">
        <x:v>34</x:v>
      </x:c>
      <x:c r="F8" s="16" t="n">
        <x:f>IFERROR(B8/E8,"")</x:f>
        <x:v>0.23529411764705882</x:v>
      </x:c>
      <x:c r="G8" s="16" t="n">
        <x:f>IFERROR(E8-B8,"")</x:f>
        <x:v>26</x:v>
      </x:c>
      <x:c r="H8" s="15" t="str"/>
      <x:c r="I8" s="1"/>
      <x:c r="J8" s="1"/>
      <x:c r="K8" s="1"/>
    </x:row>
    <x:row r="9" ht="15" hidden="0" customHeight="1">
      <x:c r="A9" s="15"/>
      <x:c r="B9" s="16"/>
      <x:c r="C9" s="16"/>
      <x:c r="D9" s="16" t="str">
        <x:f>IFERROR(B9/C9,"")</x:f>
      </x:c>
      <x:c r="E9" s="16"/>
      <x:c r="F9" s="16" t="str">
        <x:f>IFERROR(B9/E9,"")</x:f>
      </x:c>
      <x:c r="G9" s="16" t="n">
        <x:f>IFERROR(E9-B9,"")</x:f>
        <x:v>0</x:v>
      </x:c>
      <x:c r="H9" s="15"/>
      <x:c r="I9" s="1"/>
      <x:c r="J9" s="1"/>
      <x:c r="K9" s="1"/>
    </x:row>
    <x:row r="10" ht="15" hidden="0" customHeight="1">
      <x:c r="A10" s="15"/>
      <x:c r="B10" s="16"/>
      <x:c r="C10" s="16"/>
      <x:c r="D10" s="16" t="str">
        <x:f>IFERROR(B10/C10,"")</x:f>
      </x:c>
      <x:c r="E10" s="16"/>
      <x:c r="F10" s="16" t="str">
        <x:f>IFERROR(B10/E10,"")</x:f>
      </x:c>
      <x:c r="G10" s="16" t="n">
        <x:f>IFERROR(E10-B10,"")</x:f>
        <x:v>0</x:v>
      </x:c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 t="str">
        <x:f>IFERROR(B11/C11,"")</x:f>
      </x:c>
      <x:c r="E11" s="16"/>
      <x:c r="F11" s="16" t="str">
        <x:f>IFERROR(B11/E11,"")</x:f>
      </x:c>
      <x:c r="G11" s="16" t="n">
        <x:f>IFERROR(E11-B11,"")</x:f>
        <x:v>0</x:v>
      </x:c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 t="str">
        <x:f>IFERROR(B12/C12,"")</x:f>
      </x:c>
      <x:c r="E12" s="16"/>
      <x:c r="F12" s="16" t="str">
        <x:f>IFERROR(B12/E12,"")</x:f>
      </x:c>
      <x:c r="G12" s="16" t="n">
        <x:f>IFERROR(E12-B12,"")</x:f>
        <x:v>0</x:v>
      </x:c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 t="str">
        <x:f>IFERROR(B13/C13,"")</x:f>
      </x:c>
      <x:c r="E13" s="16"/>
      <x:c r="F13" s="16" t="str">
        <x:f>IFERROR(B13/E13,"")</x:f>
      </x:c>
      <x:c r="G13" s="16" t="n">
        <x:f>IFERROR(E13-B13,"")</x:f>
        <x:v>0</x:v>
      </x:c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 t="str">
        <x:f>IFERROR(B14/C14,"")</x:f>
      </x:c>
      <x:c r="E14" s="16"/>
      <x:c r="F14" s="16" t="str">
        <x:f>IFERROR(B14/E14,"")</x:f>
      </x:c>
      <x:c r="G14" s="16" t="n">
        <x:f>IFERROR(E14-B14,"")</x:f>
        <x:v>0</x:v>
      </x:c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 t="str">
        <x:f>IFERROR(B15/C15,"")</x:f>
      </x:c>
      <x:c r="E15" s="16"/>
      <x:c r="F15" s="16" t="str">
        <x:f>IFERROR(B15/E15,"")</x:f>
      </x:c>
      <x:c r="G15" s="16" t="n">
        <x:f>IFERROR(E15-B15,"")</x:f>
        <x:v>0</x:v>
      </x:c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 t="str">
        <x:f>IFERROR(B16/C16,"")</x:f>
      </x:c>
      <x:c r="E16" s="16"/>
      <x:c r="F16" s="16" t="str">
        <x:f>IFERROR(B16/E16,"")</x:f>
      </x:c>
      <x:c r="G16" s="16" t="n">
        <x:f>IFERROR(E16-B16,"")</x:f>
        <x:v>0</x:v>
      </x:c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 t="str">
        <x:f>IFERROR(B17/C17,"")</x:f>
      </x:c>
      <x:c r="E17" s="16"/>
      <x:c r="F17" s="16" t="str">
        <x:f>IFERROR(B17/E17,"")</x:f>
      </x:c>
      <x:c r="G17" s="16" t="n">
        <x:f>IFERROR(E17-B17,"")</x:f>
        <x:v>0</x:v>
      </x:c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 t="str">
        <x:f>IFERROR(B18/C18,"")</x:f>
      </x:c>
      <x:c r="E18" s="16"/>
      <x:c r="F18" s="16" t="str">
        <x:f>IFERROR(B18/E18,"")</x:f>
      </x:c>
      <x:c r="G18" s="16" t="n">
        <x:f>IFERROR(E18-B18,"")</x:f>
        <x:v>0</x:v>
      </x:c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 t="str">
        <x:f>IFERROR(B19/C19,"")</x:f>
      </x:c>
      <x:c r="E19" s="16"/>
      <x:c r="F19" s="16" t="str">
        <x:f>IFERROR(B19/E19,"")</x:f>
      </x:c>
      <x:c r="G19" s="16" t="n">
        <x:f>IFERROR(E19-B19,"")</x:f>
        <x:v>0</x:v>
      </x:c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 t="str">
        <x:f>IFERROR(B20/C20,"")</x:f>
      </x:c>
      <x:c r="E20" s="16"/>
      <x:c r="F20" s="16" t="str">
        <x:f>IFERROR(B20/E20,"")</x:f>
      </x:c>
      <x:c r="G20" s="16" t="n">
        <x:f>IFERROR(E20-B20,"")</x:f>
        <x:v>0</x:v>
      </x:c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 t="str">
        <x:f>IFERROR(B21/C21,"")</x:f>
      </x:c>
      <x:c r="E21" s="16"/>
      <x:c r="F21" s="16" t="str">
        <x:f>IFERROR(B21/E21,"")</x:f>
      </x:c>
      <x:c r="G21" s="16" t="n">
        <x:f>IFERROR(E21-B21,"")</x:f>
        <x:v>0</x:v>
      </x:c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 t="str">
        <x:f>IFERROR(B22/C22,"")</x:f>
      </x:c>
      <x:c r="E22" s="16"/>
      <x:c r="F22" s="16" t="str">
        <x:f>IFERROR(B22/E22,"")</x:f>
      </x:c>
      <x:c r="G22" s="16" t="n">
        <x:f>IFERROR(E22-B22,"")</x:f>
        <x:v>0</x:v>
      </x:c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 t="str">
        <x:f>IFERROR(B23/C23,"")</x:f>
      </x:c>
      <x:c r="E23" s="16"/>
      <x:c r="F23" s="16" t="str">
        <x:f>IFERROR(B23/E23,"")</x:f>
      </x:c>
      <x:c r="G23" s="16" t="n">
        <x:f>IFERROR(E23-B23,"")</x:f>
        <x:v>0</x:v>
      </x:c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 t="str">
        <x:f>IFERROR(B24/C24,"")</x:f>
      </x:c>
      <x:c r="E24" s="16"/>
      <x:c r="F24" s="16" t="str">
        <x:f>IFERROR(B24/E24,"")</x:f>
      </x:c>
      <x:c r="G24" s="16" t="n">
        <x:f>IFERROR(E24-B24,"")</x:f>
        <x:v>0</x:v>
      </x:c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 t="str">
        <x:f>IFERROR(B25/C25,"")</x:f>
      </x:c>
      <x:c r="E25" s="16"/>
      <x:c r="F25" s="16" t="str">
        <x:f>IFERROR(B25/E25,"")</x:f>
      </x:c>
      <x:c r="G25" s="16" t="n">
        <x:f>IFERROR(E25-B25,"")</x:f>
        <x:v>0</x:v>
      </x:c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Menu Pricing Calculator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21" t="str">
        <x:v>Rows entered</x:v>
      </x:c>
      <x:c r="B6" s="22" t="n">
        <x:f>COUNTA(Inputs!A6:A25)</x:f>
        <x:v>3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21" t="str">
        <x:v>Average contribution</x:v>
      </x:c>
      <x:c r="B7" s="23" t="n">
        <x:f>AVERAGE(Inputs!G6:G25)</x:f>
        <x:v>4.483333333333333</x:v>
      </x:c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2"/>
      <x:c r="B10" s="12"/>
      <x:c r="C10" s="12"/>
      <x:c r="D10" s="12"/>
      <x:c r="E10" s="12"/>
      <x:c r="F10" s="12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Menu Pricing Calculator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9" t="str">
        <x:v>How to use this workbook</x:v>
      </x:c>
      <x:c r="B5" s="29"/>
      <x:c r="C5" s="29"/>
      <x:c r="D5" s="29"/>
      <x:c r="E5" s="29"/>
      <x:c r="F5" s="29"/>
      <x:c r="G5" s="29"/>
      <x:c r="H5" s="29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30" t="n">
        <x:v>1</x:v>
      </x:c>
      <x:c r="B7" s="31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30" t="n">
        <x:v>2</x:v>
      </x:c>
      <x:c r="B8" s="31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30" t="n">
        <x:v>3</x:v>
      </x:c>
      <x:c r="B9" s="31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30" t="n">
        <x:v>4</x:v>
      </x:c>
      <x:c r="B10" s="31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