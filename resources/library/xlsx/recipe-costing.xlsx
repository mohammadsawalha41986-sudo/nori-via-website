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92c3e1b6e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97cb52592744ccb"/>
    <x:sheet xmlns:r="http://schemas.openxmlformats.org/officeDocument/2006/relationships" name="Summary" sheetId="2" r:id="R0ee1dc1efbf54c48"/>
    <x:sheet xmlns:r="http://schemas.openxmlformats.org/officeDocument/2006/relationships" name="Instructions" sheetId="3" r:id="R1feabf2daa19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b4d97872f4f1b" /><Relationship Type="http://schemas.openxmlformats.org/officeDocument/2006/relationships/theme" Target="/xl/theme/theme1.xml" Id="R17b09bc4dd384c49" /><Relationship Type="http://schemas.openxmlformats.org/officeDocument/2006/relationships/sharedStrings" Target="/xl/sharedStrings.xml" Id="R21388069f28449bc" /><Relationship Type="http://schemas.openxmlformats.org/officeDocument/2006/relationships/worksheet" Target="/xl/worksheets/sheet1.xml" Id="R897cb52592744ccb" /><Relationship Type="http://schemas.openxmlformats.org/officeDocument/2006/relationships/worksheet" Target="/xl/worksheets/sheet2.xml" Id="R0ee1dc1efbf54c48" /><Relationship Type="http://schemas.openxmlformats.org/officeDocument/2006/relationships/worksheet" Target="/xl/worksheets/sheet3.xml" Id="R1feabf2daa1946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9da034f50594bd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763adb9c8009460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f093a0875f9644e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763e31a-1cb2-4f7c-bb97-108dbdbcc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a034f5059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a3008b6-e831-4d5f-b515-476d642471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3adb9c8009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d569878-b50a-41e2-8aa1-373d7948fe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3a0875f9644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84e02217b746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98888b81748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8ce8353512946fc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Recipe Costing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Ingredient</x:v>
      </x:c>
      <x:c r="B5" s="8" t="str">
        <x:v>Purchase pack cost</x:v>
      </x:c>
      <x:c r="C5" s="8" t="str">
        <x:v>Pack quantity</x:v>
      </x:c>
      <x:c r="D5" s="8" t="str">
        <x:v>Yield %</x:v>
      </x:c>
      <x:c r="E5" s="8" t="str">
        <x:v>Recipe quantity</x:v>
      </x:c>
      <x:c r="F5" s="8" t="str">
        <x:v>Unit cost</x:v>
      </x:c>
      <x:c r="G5" s="8" t="str">
        <x:v>Recipe cost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Protein</x:v>
      </x:c>
      <x:c r="B6" s="16" t="n">
        <x:v>120</x:v>
      </x:c>
      <x:c r="C6" s="16" t="n">
        <x:v>10</x:v>
      </x:c>
      <x:c r="D6" s="16" t="n">
        <x:v>0.9</x:v>
      </x:c>
      <x:c r="E6" s="16" t="n">
        <x:f>IFERROR(B6/C6/D6,"")</x:f>
        <x:v>13.333333333333332</x:v>
      </x:c>
      <x:c r="F6" s="16" t="n">
        <x:f>IFERROR(B6/C6/D6,"")</x:f>
        <x:v>13.333333333333332</x:v>
      </x:c>
      <x:c r="G6" s="16" t="n">
        <x:f>IFERROR(E6*F6,"")</x:f>
        <x:v>177.77777777777774</x:v>
      </x:c>
      <x:c r="H6" s="15" t="str">
        <x:v>Use matching units</x:v>
      </x:c>
      <x:c r="I6" s="1"/>
      <x:c r="J6" s="1"/>
      <x:c r="K6" s="1"/>
    </x:row>
    <x:row r="7" ht="15" hidden="0" customHeight="1">
      <x:c r="A7" s="15" t="str">
        <x:v>Rice</x:v>
      </x:c>
      <x:c r="B7" s="16" t="n">
        <x:v>65</x:v>
      </x:c>
      <x:c r="C7" s="16" t="n">
        <x:v>20</x:v>
      </x:c>
      <x:c r="D7" s="16" t="n">
        <x:v>0.98</x:v>
      </x:c>
      <x:c r="E7" s="16" t="n">
        <x:v>0.12</x:v>
      </x:c>
      <x:c r="F7" s="16" t="n">
        <x:f>IFERROR(B7/C7/D7,"")</x:f>
        <x:v>3.316326530612245</x:v>
      </x:c>
      <x:c r="G7" s="16" t="n">
        <x:f>IFERROR(E7*F7,"")</x:f>
        <x:v>0.3979591836734694</x:v>
      </x:c>
      <x:c r="H7" s="15" t="str"/>
      <x:c r="I7" s="1"/>
      <x:c r="J7" s="1"/>
      <x:c r="K7" s="1"/>
    </x:row>
    <x:row r="8" ht="15" hidden="0" customHeight="1">
      <x:c r="A8" s="15" t="str">
        <x:v>Sauce</x:v>
      </x:c>
      <x:c r="B8" s="16" t="n">
        <x:v>30</x:v>
      </x:c>
      <x:c r="C8" s="16" t="n">
        <x:v>5</x:v>
      </x:c>
      <x:c r="D8" s="16" t="n">
        <x:v>0.95</x:v>
      </x:c>
      <x:c r="E8" s="16" t="n">
        <x:v>0.04</x:v>
      </x:c>
      <x:c r="F8" s="16" t="n">
        <x:f>IFERROR(B8/C8/D8,"")</x:f>
        <x:v>6.315789473684211</x:v>
      </x:c>
      <x:c r="G8" s="16" t="n">
        <x:f>IFERROR(E8*F8,"")</x:f>
        <x:v>0.25263157894736843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str">
        <x:f>IFERROR(B9/C9/D9,"")</x:f>
      </x:c>
      <x:c r="G9" s="16" t="n">
        <x:f>IFERROR(E9*F9,"")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str">
        <x:f>IFERROR(B10/C10/D10,"")</x:f>
      </x:c>
      <x:c r="G10" s="16" t="n">
        <x:f>IFERROR(E10*F10,"")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str">
        <x:f>IFERROR(B11/C11/D11,"")</x:f>
      </x:c>
      <x:c r="G11" s="16" t="n">
        <x:f>IFERROR(E11*F11,"")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str">
        <x:f>IFERROR(B12/C12/D12,"")</x:f>
      </x:c>
      <x:c r="G12" s="16" t="n">
        <x:f>IFERROR(E12*F12,"")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str">
        <x:f>IFERROR(B13/C13/D13,"")</x:f>
      </x:c>
      <x:c r="G13" s="16" t="n">
        <x:f>IFERROR(E13*F13,"")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str">
        <x:f>IFERROR(B14/C14/D14,"")</x:f>
      </x:c>
      <x:c r="G14" s="16" t="n">
        <x:f>IFERROR(E14*F14,"")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str">
        <x:f>IFERROR(B15/C15/D15,"")</x:f>
      </x:c>
      <x:c r="G15" s="16" t="n">
        <x:f>IFERROR(E15*F15,"")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str">
        <x:f>IFERROR(B16/C16/D16,"")</x:f>
      </x:c>
      <x:c r="G16" s="16" t="n">
        <x:f>IFERROR(E16*F16,"")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str">
        <x:f>IFERROR(B17/C17/D17,"")</x:f>
      </x:c>
      <x:c r="G17" s="16" t="n">
        <x:f>IFERROR(E17*F17,"")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str">
        <x:f>IFERROR(B18/C18/D18,"")</x:f>
      </x:c>
      <x:c r="G18" s="16" t="n">
        <x:f>IFERROR(E18*F18,"")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str">
        <x:f>IFERROR(B19/C19/D19,"")</x:f>
      </x:c>
      <x:c r="G19" s="16" t="n">
        <x:f>IFERROR(E19*F19,"")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str">
        <x:f>IFERROR(B20/C20/D20,"")</x:f>
      </x:c>
      <x:c r="G20" s="16" t="n">
        <x:f>IFERROR(E20*F20,"")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str">
        <x:f>IFERROR(B21/C21/D21,"")</x:f>
      </x:c>
      <x:c r="G21" s="16" t="n">
        <x:f>IFERROR(E21*F21,"")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str">
        <x:f>IFERROR(B22/C22/D22,"")</x:f>
      </x:c>
      <x:c r="G22" s="16" t="n">
        <x:f>IFERROR(E22*F22,"")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str">
        <x:f>IFERROR(B23/C23/D23,"")</x:f>
      </x:c>
      <x:c r="G23" s="16" t="n">
        <x:f>IFERROR(E23*F23,"")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str">
        <x:f>IFERROR(B24/C24/D24,"")</x:f>
      </x:c>
      <x:c r="G24" s="16" t="n">
        <x:f>IFERROR(E24*F24,"")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str">
        <x:f>IFERROR(B25/C25/D25,"")</x:f>
      </x:c>
      <x:c r="G25" s="16" t="n">
        <x:f>IFERROR(E25*F25,"")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6784e02217b7466a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Recipe Costing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898888b817484eea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Recipe Costing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98ce8353512946fc"/>
</x:worksheet>
</file>