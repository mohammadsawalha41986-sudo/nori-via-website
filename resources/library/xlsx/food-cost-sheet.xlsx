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a10ef2f21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921afb5025664f6d"/>
    <x:sheet xmlns:r="http://schemas.openxmlformats.org/officeDocument/2006/relationships" name="Summary" sheetId="2" r:id="R36e0f13c19714e57"/>
    <x:sheet xmlns:r="http://schemas.openxmlformats.org/officeDocument/2006/relationships" name="Instructions" sheetId="3" r:id="Rd8c1a02ffdcc40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2"/>
      <x:color rgb="FF17324D"/>
    </x:font>
    <x:font>
      <x:b/>
      <x:sz val="10"/>
      <x:color rgb="FFFFFFFF"/>
    </x:font>
    <x:font>
      <x:sz val="10"/>
      <x:color rgb="FF1F2933"/>
    </x:font>
    <x:font>
      <x:sz val="10"/>
      <x:color rgb="FF0070C0"/>
    </x:font>
    <x:font>
      <x:b/>
      <x:sz val="10"/>
      <x:color rgb="FF17324D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2" fillId="2" borderId="0" xfId="0" applyAlignment="1">
      <x:alignment vertical="center" wrapText="1"/>
    </x:xf>
    <x:xf numFmtId="0" fontId="3" fillId="0" borderId="0" xfId="0"/>
    <x:xf numFmtId="0" fontId="4" fillId="0" borderId="0" xfId="0"/>
    <x:xf numFmtId="0" fontId="5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09050314f4a85" /><Relationship Type="http://schemas.openxmlformats.org/officeDocument/2006/relationships/theme" Target="/xl/theme/theme1.xml" Id="Rd8362c5c0f4b4eac" /><Relationship Type="http://schemas.openxmlformats.org/officeDocument/2006/relationships/sharedStrings" Target="/xl/sharedStrings.xml" Id="Ra30f525d96634e9f" /><Relationship Type="http://schemas.openxmlformats.org/officeDocument/2006/relationships/worksheet" Target="/xl/worksheets/sheet1.xml" Id="R921afb5025664f6d" /><Relationship Type="http://schemas.openxmlformats.org/officeDocument/2006/relationships/worksheet" Target="/xl/worksheets/sheet2.xml" Id="R36e0f13c19714e57" /><Relationship Type="http://schemas.openxmlformats.org/officeDocument/2006/relationships/worksheet" Target="/xl/worksheets/sheet3.xml" Id="Rd8c1a02ffdcc40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1e3005628f5140b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64b703becb7d435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abe164977c014da7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9e92d827-6bf1-4ff9-84f2-e73a43394d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3005628f5140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7f16d644-3077-45d1-9af9-b600d3ffd9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b703becb7d43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27d85a6a-cc89-4c9e-9442-7f2cd7431f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e164977c014d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25411258ad4a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ae3f9af500d45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20a3580ae2946f9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8" defaultRowHeight="15"/>
  <x:cols>
    <x:col min="1" max="1" width="22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</x:cols>
  <x:sheetData>
    <x:row r="1" ht="48" customHeight="1"/>
    <x:row r="2">
      <x:c r="A2" s="1" t="inlineStr">
        <x:is>
          <x:t xml:space="preserve">Noriva Food Cost Sheet</x:t>
        </x:is>
      </x:c>
    </x:row>
    <x:row r="5">
      <x:c r="A5" s="2" t="inlineStr">
        <x:is>
          <x:t xml:space="preserve">Ingredient</x:t>
        </x:is>
      </x:c>
      <x:c r="B5" s="2" t="inlineStr">
        <x:is>
          <x:t xml:space="preserve">Pack size</x:t>
        </x:is>
      </x:c>
      <x:c r="C5" s="2" t="inlineStr">
        <x:is>
          <x:t xml:space="preserve">Pack cost</x:t>
        </x:is>
      </x:c>
      <x:c r="D5" s="2" t="inlineStr">
        <x:is>
          <x:t xml:space="preserve">Yield %</x:t>
        </x:is>
      </x:c>
      <x:c r="E5" s="2" t="inlineStr">
        <x:is>
          <x:t xml:space="preserve">Portion qty</x:t>
        </x:is>
      </x:c>
      <x:c r="F5" s="2" t="inlineStr">
        <x:is>
          <x:t xml:space="preserve">Usable pack size</x:t>
        </x:is>
      </x:c>
      <x:c r="G5" s="2" t="inlineStr">
        <x:is>
          <x:t xml:space="preserve">Cost per unit</x:t>
        </x:is>
      </x:c>
      <x:c r="H5" s="2" t="inlineStr">
        <x:is>
          <x:t xml:space="preserve">Cost per portion</x:t>
        </x:is>
      </x:c>
    </x:row>
    <x:row r="6">
      <x:c r="A6" s="3" t="inlineStr">
        <x:is>
          <x:t xml:space="preserve">Ingredient A</x:t>
        </x:is>
      </x:c>
      <x:c r="B6" s="4" t="n"/>
      <x:c r="C6" s="4" t="n"/>
      <x:c r="D6" s="4" t="n"/>
      <x:c r="E6" s="4" t="n"/>
      <x:c r="F6" s="4" t="n">
        <x:f>IFERROR(B6*D6,"")</x:f>
        <x:v>0</x:v>
      </x:c>
      <x:c r="G6" s="4" t="str">
        <x:f>IFERROR(C6/F6,"")</x:f>
      </x:c>
      <x:c r="H6" s="4" t="n">
        <x:f>IFERROR(G6*E6,"")</x:f>
        <x:v>0</x:v>
      </x:c>
    </x:row>
    <x:row r="7">
      <x:c r="A7" s="3" t="inlineStr">
        <x:is>
          <x:t xml:space="preserve">Ingredient B</x:t>
        </x:is>
      </x:c>
      <x:c r="B7" s="4" t="n"/>
      <x:c r="C7" s="4" t="n"/>
      <x:c r="D7" s="4" t="n"/>
      <x:c r="E7" s="4" t="n"/>
      <x:c r="F7" s="4" t="n">
        <x:f>IFERROR(B7*D7,"")</x:f>
        <x:v>0</x:v>
      </x:c>
      <x:c r="G7" s="4" t="str">
        <x:f>IFERROR(C7/F7,"")</x:f>
      </x:c>
      <x:c r="H7" s="4" t="n">
        <x:f>IFERROR(G7*E7,"")</x:f>
        <x:v>0</x:v>
      </x:c>
    </x:row>
    <x:row r="8">
      <x:c r="A8" s="3" t="inlineStr">
        <x:is>
          <x:t xml:space="preserve">Sub-recipe base</x:t>
        </x:is>
      </x:c>
      <x:c r="B8" s="4" t="n"/>
      <x:c r="C8" s="4" t="n"/>
      <x:c r="D8" s="4" t="n"/>
      <x:c r="E8" s="4" t="n"/>
      <x:c r="F8" s="4" t="n">
        <x:f>IFERROR(B8*D8,"")</x:f>
        <x:v>0</x:v>
      </x:c>
      <x:c r="G8" s="4" t="str">
        <x:f>IFERROR(C8/F8,"")</x:f>
      </x:c>
      <x:c r="H8" s="4" t="n">
        <x:f>IFERROR(G8*E8,"")</x:f>
        <x:v>0</x:v>
      </x:c>
    </x:row>
    <x:row r="9">
      <x:c r="A9" s="3" t="n"/>
      <x:c r="B9" s="4" t="n"/>
      <x:c r="C9" s="4" t="n"/>
      <x:c r="D9" s="4" t="n"/>
      <x:c r="E9" s="4" t="n"/>
      <x:c r="F9" s="4" t="n">
        <x:f>IFERROR(B9*D9,"")</x:f>
        <x:v>0</x:v>
      </x:c>
      <x:c r="G9" s="4" t="str">
        <x:f>IFERROR(C9/F9,"")</x:f>
      </x:c>
      <x:c r="H9" s="4" t="n">
        <x:f>IFERROR(G9*E9,"")</x:f>
        <x:v>0</x:v>
      </x:c>
    </x:row>
    <x:row r="10">
      <x:c r="A10" s="3" t="n"/>
      <x:c r="B10" s="4" t="n"/>
      <x:c r="C10" s="4" t="n"/>
      <x:c r="D10" s="4" t="n"/>
      <x:c r="E10" s="4" t="n"/>
      <x:c r="F10" s="4" t="n">
        <x:f>IFERROR(B10*D10,"")</x:f>
        <x:v>0</x:v>
      </x:c>
      <x:c r="G10" s="4" t="str">
        <x:f>IFERROR(C10/F10,"")</x:f>
      </x:c>
      <x:c r="H10" s="4" t="n">
        <x:f>IFERROR(G10*E10,"")</x:f>
        <x:v>0</x:v>
      </x:c>
    </x:row>
    <x:row r="11">
      <x:c r="A11" s="3" t="n"/>
      <x:c r="B11" s="4" t="n"/>
      <x:c r="C11" s="4" t="n"/>
      <x:c r="D11" s="4" t="n"/>
      <x:c r="E11" s="4" t="n"/>
      <x:c r="F11" s="4" t="n">
        <x:f>IFERROR(B11*D11,"")</x:f>
        <x:v>0</x:v>
      </x:c>
      <x:c r="G11" s="4" t="str">
        <x:f>IFERROR(C11/F11,"")</x:f>
      </x:c>
      <x:c r="H11" s="4" t="n">
        <x:f>IFERROR(G11*E11,"")</x:f>
        <x:v>0</x:v>
      </x:c>
    </x:row>
    <x:row r="12">
      <x:c r="A12" s="3" t="n"/>
      <x:c r="B12" s="4" t="n"/>
      <x:c r="C12" s="4" t="n"/>
      <x:c r="D12" s="4" t="n"/>
      <x:c r="E12" s="4" t="n"/>
      <x:c r="F12" s="4" t="n">
        <x:f>IFERROR(B12*D12,"")</x:f>
        <x:v>0</x:v>
      </x:c>
      <x:c r="G12" s="4" t="str">
        <x:f>IFERROR(C12/F12,"")</x:f>
      </x:c>
      <x:c r="H12" s="4" t="n">
        <x:f>IFERROR(G12*E12,"")</x:f>
        <x:v>0</x:v>
      </x:c>
    </x:row>
    <x:row r="13">
      <x:c r="A13" s="3" t="n"/>
      <x:c r="B13" s="4" t="n"/>
      <x:c r="C13" s="4" t="n"/>
      <x:c r="D13" s="4" t="n"/>
      <x:c r="E13" s="4" t="n"/>
      <x:c r="F13" s="4" t="n">
        <x:f>IFERROR(B13*D13,"")</x:f>
        <x:v>0</x:v>
      </x:c>
      <x:c r="G13" s="4" t="str">
        <x:f>IFERROR(C13/F13,"")</x:f>
      </x:c>
      <x:c r="H13" s="4" t="n">
        <x:f>IFERROR(G13*E13,"")</x:f>
        <x:v>0</x:v>
      </x:c>
    </x:row>
    <x:row r="14">
      <x:c r="A14" s="3" t="n"/>
      <x:c r="B14" s="4" t="n"/>
      <x:c r="C14" s="4" t="n"/>
      <x:c r="D14" s="4" t="n"/>
      <x:c r="E14" s="4" t="n"/>
      <x:c r="F14" s="4" t="n">
        <x:f>IFERROR(B14*D14,"")</x:f>
        <x:v>0</x:v>
      </x:c>
      <x:c r="G14" s="4" t="str">
        <x:f>IFERROR(C14/F14,"")</x:f>
      </x:c>
      <x:c r="H14" s="4" t="n">
        <x:f>IFERROR(G14*E14,"")</x:f>
        <x:v>0</x:v>
      </x:c>
    </x:row>
    <x:row r="15">
      <x:c r="A15" s="3" t="n"/>
      <x:c r="B15" s="4" t="n"/>
      <x:c r="C15" s="4" t="n"/>
      <x:c r="D15" s="4" t="n"/>
      <x:c r="E15" s="4" t="n"/>
      <x:c r="F15" s="4" t="n">
        <x:f>IFERROR(B15*D15,"")</x:f>
        <x:v>0</x:v>
      </x:c>
      <x:c r="G15" s="4" t="str">
        <x:f>IFERROR(C15/F15,"")</x:f>
      </x:c>
      <x:c r="H15" s="4" t="n">
        <x:f>IFERROR(G15*E15,"")</x:f>
        <x:v>0</x:v>
      </x:c>
    </x:row>
    <x:row r="16">
      <x:c r="A16" s="3" t="n"/>
      <x:c r="B16" s="4" t="n"/>
      <x:c r="C16" s="4" t="n"/>
      <x:c r="D16" s="4" t="n"/>
      <x:c r="E16" s="4" t="n"/>
      <x:c r="F16" s="4" t="n">
        <x:f>IFERROR(B16*D16,"")</x:f>
        <x:v>0</x:v>
      </x:c>
      <x:c r="G16" s="4" t="str">
        <x:f>IFERROR(C16/F16,"")</x:f>
      </x:c>
      <x:c r="H16" s="4" t="n">
        <x:f>IFERROR(G16*E16,"")</x:f>
        <x:v>0</x:v>
      </x:c>
    </x:row>
    <x:row r="17">
      <x:c r="A17" s="3" t="n"/>
      <x:c r="B17" s="4" t="n"/>
      <x:c r="C17" s="4" t="n"/>
      <x:c r="D17" s="4" t="n"/>
      <x:c r="E17" s="4" t="n"/>
      <x:c r="F17" s="4" t="n">
        <x:f>IFERROR(B17*D17,"")</x:f>
        <x:v>0</x:v>
      </x:c>
      <x:c r="G17" s="4" t="str">
        <x:f>IFERROR(C17/F17,"")</x:f>
      </x:c>
      <x:c r="H17" s="4" t="n">
        <x:f>IFERROR(G17*E17,"")</x:f>
        <x:v>0</x:v>
      </x:c>
    </x:row>
    <x:row r="18">
      <x:c r="A18" s="3" t="n"/>
      <x:c r="B18" s="4" t="n"/>
      <x:c r="C18" s="4" t="n"/>
      <x:c r="D18" s="4" t="n"/>
      <x:c r="E18" s="4" t="n"/>
      <x:c r="F18" s="4" t="n">
        <x:f>IFERROR(B18*D18,"")</x:f>
        <x:v>0</x:v>
      </x:c>
      <x:c r="G18" s="4" t="str">
        <x:f>IFERROR(C18/F18,"")</x:f>
      </x:c>
      <x:c r="H18" s="4" t="n">
        <x:f>IFERROR(G18*E18,"")</x:f>
        <x:v>0</x:v>
      </x:c>
    </x:row>
    <x:row r="19">
      <x:c r="A19" s="3" t="n"/>
      <x:c r="B19" s="4" t="n"/>
      <x:c r="C19" s="4" t="n"/>
      <x:c r="D19" s="4" t="n"/>
      <x:c r="E19" s="4" t="n"/>
      <x:c r="F19" s="4" t="n">
        <x:f>IFERROR(B19*D19,"")</x:f>
        <x:v>0</x:v>
      </x:c>
      <x:c r="G19" s="4" t="str">
        <x:f>IFERROR(C19/F19,"")</x:f>
      </x:c>
      <x:c r="H19" s="4" t="n">
        <x:f>IFERROR(G19*E19,"")</x:f>
        <x:v>0</x:v>
      </x:c>
    </x:row>
    <x:row r="20">
      <x:c r="A20" s="3" t="n"/>
      <x:c r="B20" s="4" t="n"/>
      <x:c r="C20" s="4" t="n"/>
      <x:c r="D20" s="4" t="n"/>
      <x:c r="E20" s="4" t="n"/>
      <x:c r="F20" s="4" t="n">
        <x:f>IFERROR(B20*D20,"")</x:f>
        <x:v>0</x:v>
      </x:c>
      <x:c r="G20" s="4" t="str">
        <x:f>IFERROR(C20/F20,"")</x:f>
      </x:c>
      <x:c r="H20" s="4" t="n">
        <x:f>IFERROR(G20*E20,"")</x:f>
        <x:v>0</x:v>
      </x:c>
    </x:row>
    <x:row r="21">
      <x:c r="A21" s="3" t="n"/>
      <x:c r="B21" s="4" t="n"/>
      <x:c r="C21" s="4" t="n"/>
      <x:c r="D21" s="4" t="n"/>
      <x:c r="E21" s="4" t="n"/>
      <x:c r="F21" s="4" t="n">
        <x:f>IFERROR(B21*D21,"")</x:f>
        <x:v>0</x:v>
      </x:c>
      <x:c r="G21" s="4" t="str">
        <x:f>IFERROR(C21/F21,"")</x:f>
      </x:c>
      <x:c r="H21" s="4" t="n">
        <x:f>IFERROR(G21*E21,"")</x:f>
        <x:v>0</x:v>
      </x:c>
    </x:row>
    <x:row r="22">
      <x:c r="A22" s="3" t="n"/>
      <x:c r="B22" s="4" t="n"/>
      <x:c r="C22" s="4" t="n"/>
      <x:c r="D22" s="4" t="n"/>
      <x:c r="E22" s="4" t="n"/>
      <x:c r="F22" s="4" t="n">
        <x:f>IFERROR(B22*D22,"")</x:f>
        <x:v>0</x:v>
      </x:c>
      <x:c r="G22" s="4" t="str">
        <x:f>IFERROR(C22/F22,"")</x:f>
      </x:c>
      <x:c r="H22" s="4" t="n">
        <x:f>IFERROR(G22*E22,"")</x:f>
        <x:v>0</x:v>
      </x:c>
    </x:row>
    <x:row r="23">
      <x:c r="A23" s="3" t="n"/>
      <x:c r="B23" s="4" t="n"/>
      <x:c r="C23" s="4" t="n"/>
      <x:c r="D23" s="4" t="n"/>
      <x:c r="E23" s="4" t="n"/>
      <x:c r="F23" s="4" t="n">
        <x:f>IFERROR(B23*D23,"")</x:f>
        <x:v>0</x:v>
      </x:c>
      <x:c r="G23" s="4" t="str">
        <x:f>IFERROR(C23/F23,"")</x:f>
      </x:c>
      <x:c r="H23" s="4" t="n">
        <x:f>IFERROR(G23*E23,"")</x:f>
        <x:v>0</x:v>
      </x:c>
    </x:row>
    <x:row r="24">
      <x:c r="A24" s="3" t="n"/>
      <x:c r="B24" s="4" t="n"/>
      <x:c r="C24" s="4" t="n"/>
      <x:c r="D24" s="4" t="n"/>
      <x:c r="E24" s="4" t="n"/>
      <x:c r="F24" s="4" t="n">
        <x:f>IFERROR(B24*D24,"")</x:f>
        <x:v>0</x:v>
      </x:c>
      <x:c r="G24" s="4" t="str">
        <x:f>IFERROR(C24/F24,"")</x:f>
      </x:c>
      <x:c r="H24" s="4" t="n">
        <x:f>IFERROR(G24*E24,"")</x:f>
        <x:v>0</x:v>
      </x:c>
    </x:row>
    <x:row r="25">
      <x:c r="A25" s="3" t="n"/>
      <x:c r="B25" s="4" t="n"/>
      <x:c r="C25" s="4" t="n"/>
      <x:c r="D25" s="4" t="n"/>
      <x:c r="E25" s="4" t="n"/>
      <x:c r="F25" s="4" t="n">
        <x:f>IFERROR(B25*D25,"")</x:f>
        <x:v>0</x:v>
      </x:c>
      <x:c r="G25" s="4" t="str">
        <x:f>IFERROR(C25/F25,"")</x:f>
      </x:c>
      <x:c r="H25" s="4" t="n">
        <x:f>IFERROR(G25*E25,"")</x:f>
        <x:v>0</x:v>
      </x:c>
    </x:row>
  </x:sheetData>
  <x:pageMargins left="0.7" right="0.7" top="0.75" bottom="0.75" header="0.3" footer="0.3"/>
  <x:drawing xmlns:r="http://schemas.openxmlformats.org/officeDocument/2006/relationships" r:id="R0025411258ad4a81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8" customWidth="1"/>
  </x:cols>
  <x:sheetData>
    <x:row r="1" ht="48" customHeight="1"/>
    <x:row r="2">
      <x:c r="A2" s="1" t="inlineStr">
        <x:is>
          <x:t xml:space="preserve">Noriva Food Cost Sheet</x:t>
        </x:is>
      </x:c>
    </x:row>
    <x:row r="5">
      <x:c r="A5" s="2" t="inlineStr">
        <x:is>
          <x:t xml:space="preserve">Metric</x:t>
        </x:is>
      </x:c>
      <x:c r="B5" s="2" t="inlineStr">
        <x:is>
          <x:t xml:space="preserve">Result</x:t>
        </x:is>
      </x:c>
    </x:row>
    <x:row r="6">
      <x:c r="A6" s="3" t="inlineStr">
        <x:is>
          <x:t xml:space="preserve">Ingredients entered</x:t>
        </x:is>
      </x:c>
      <x:c r="B6" s="4" t="n">
        <x:f>COUNTA(Inputs!A6:A25)</x:f>
        <x:v>3</x:v>
      </x:c>
    </x:row>
    <x:row r="7">
      <x:c r="A7" s="3" t="inlineStr">
        <x:is>
          <x:t xml:space="preserve">Total cost per plate</x:t>
        </x:is>
      </x:c>
      <x:c r="B7" s="4" t="n">
        <x:f>SUM(Inputs!H6:H25)</x:f>
        <x:v>0</x:v>
      </x:c>
    </x:row>
    <x:row r="8">
      <x:c r="A8" s="3" t="inlineStr">
        <x:is>
          <x:t xml:space="preserve">Highest cost per portion</x:t>
        </x:is>
      </x:c>
      <x:c r="B8" s="4" t="n">
        <x:f>IFERROR(MAX(Inputs!H6:H25),"")</x:f>
        <x:v>0</x:v>
      </x:c>
    </x:row>
  </x:sheetData>
  <x:pageMargins left="0.7" right="0.7" top="0.75" bottom="0.75" header="0.3" footer="0.3"/>
  <x:drawing xmlns:r="http://schemas.openxmlformats.org/officeDocument/2006/relationships" r:id="Rcae3f9af500d4525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96" customWidth="1"/>
  </x:cols>
  <x:sheetData>
    <x:row r="1" ht="48" customHeight="1"/>
    <x:row r="2">
      <x:c r="A2" s="1" t="inlineStr">
        <x:is>
          <x:t xml:space="preserve">Noriva Food Cost Sheet</x:t>
        </x:is>
      </x:c>
    </x:row>
    <x:row r="4">
      <x:c r="A4" s="5" t="inlineStr">
        <x:is>
          <x:t xml:space="preserve">How to use this workbook</x:t>
        </x:is>
      </x:c>
    </x:row>
    <x:row r="6">
      <x:c r="A6" s="3" t="n">
        <x:v>1</x:v>
      </x:c>
      <x:c r="B6" s="3" t="inlineStr">
        <x:is>
          <x:t xml:space="preserve">Replace sample rows with your verified business data.</x:t>
        </x:is>
      </x:c>
    </x:row>
    <x:row r="7">
      <x:c r="A7" s="3" t="n">
        <x:v>2</x:v>
      </x:c>
      <x:c r="B7" s="3" t="inlineStr">
        <x:is>
          <x:t xml:space="preserve">Yellow and blue-font cells are intended for user inputs; calculated cells contain formulas.</x:t>
        </x:is>
      </x:c>
    </x:row>
    <x:row r="8">
      <x:c r="A8" s="3" t="n">
        <x:v>3</x:v>
      </x:c>
      <x:c r="B8" s="3" t="inlineStr">
        <x:is>
          <x:t xml:space="preserve">Review the Summary after completing the input table.</x:t>
        </x:is>
      </x:c>
    </x:row>
    <x:row r="9">
      <x:c r="A9" s="3" t="n">
        <x:v>4</x:v>
      </x:c>
      <x:c r="B9" s="3" t="inlineStr">
        <x:is>
          <x:t xml:space="preserve">Do not use sample values as market facts or investment advice.</x:t>
        </x:is>
      </x:c>
    </x:row>
  </x:sheetData>
  <x:pageMargins left="0.7" right="0.7" top="0.75" bottom="0.75" header="0.3" footer="0.3"/>
  <x:drawing xmlns:r="http://schemas.openxmlformats.org/officeDocument/2006/relationships" r:id="R820a3580ae2946f9"/>
</x:worksheet>
</file>