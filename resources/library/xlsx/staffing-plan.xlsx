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3d87a30d0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c546d8029c34fd7"/>
    <x:sheet xmlns:r="http://schemas.openxmlformats.org/officeDocument/2006/relationships" name="Summary" sheetId="2" r:id="R5843ada7ac944140"/>
    <x:sheet xmlns:r="http://schemas.openxmlformats.org/officeDocument/2006/relationships" name="Instructions" sheetId="3" r:id="R706469969404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9df7cbee34524" /><Relationship Type="http://schemas.openxmlformats.org/officeDocument/2006/relationships/theme" Target="/xl/theme/theme1.xml" Id="R653bffbe43dd4e96" /><Relationship Type="http://schemas.openxmlformats.org/officeDocument/2006/relationships/sharedStrings" Target="/xl/sharedStrings.xml" Id="R88af0c7bba6149e4" /><Relationship Type="http://schemas.openxmlformats.org/officeDocument/2006/relationships/worksheet" Target="/xl/worksheets/sheet1.xml" Id="R7c546d8029c34fd7" /><Relationship Type="http://schemas.openxmlformats.org/officeDocument/2006/relationships/worksheet" Target="/xl/worksheets/sheet2.xml" Id="R5843ada7ac944140" /><Relationship Type="http://schemas.openxmlformats.org/officeDocument/2006/relationships/worksheet" Target="/xl/worksheets/sheet3.xml" Id="R7064699694044c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1ce481e1cbc4ba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740b78fac5c440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fa85340431264c4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db09eeb7-7303-463b-b995-7efa853518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e481e1cbc4b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1159f31-4ed3-45c1-9ea7-04ae73e7cb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0b78fac5c4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138a3b4-c545-49b0-aa29-9a3badda6c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8534043126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b837fb13874a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401cc4f0b8648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17430a90bd9434e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Staffing Plan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Role</x:v>
      </x:c>
      <x:c r="B5" s="8" t="str">
        <x:v>Headcount</x:v>
      </x:c>
      <x:c r="C5" s="8" t="str">
        <x:v>Monthly pay</x:v>
      </x:c>
      <x:c r="D5" s="8" t="str">
        <x:v>Benefits %</x:v>
      </x:c>
      <x:c r="E5" s="8" t="str">
        <x:v>Monthly cost</x:v>
      </x:c>
      <x:c r="F5" s="8" t="str">
        <x:v>Shift</x:v>
      </x:c>
      <x:c r="G5" s="8" t="str">
        <x:v>Start date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General manager</x:v>
      </x:c>
      <x:c r="B6" s="16" t="n">
        <x:v>1</x:v>
      </x:c>
      <x:c r="C6" s="16" t="n">
        <x:v>12000</x:v>
      </x:c>
      <x:c r="D6" s="16" t="n">
        <x:v>0.15</x:v>
      </x:c>
      <x:c r="E6" s="16" t="n">
        <x:f>IFERROR(B6*C6*(1+D6),"")</x:f>
        <x:v>13799.999999999998</x:v>
      </x:c>
      <x:c r="F6" s="16" t="str">
        <x:v>Management</x:v>
      </x:c>
      <x:c r="G6" s="16" t="n">
        <x:v>46023</x:v>
      </x:c>
      <x:c r="H6" s="15" t="str"/>
      <x:c r="I6" s="1"/>
      <x:c r="J6" s="1"/>
      <x:c r="K6" s="1"/>
    </x:row>
    <x:row r="7" ht="15" hidden="0" customHeight="1">
      <x:c r="A7" s="15" t="str">
        <x:v>Chef</x:v>
      </x:c>
      <x:c r="B7" s="16" t="n">
        <x:v>1</x:v>
      </x:c>
      <x:c r="C7" s="16" t="n">
        <x:v>10000</x:v>
      </x:c>
      <x:c r="D7" s="16" t="n">
        <x:v>0.15</x:v>
      </x:c>
      <x:c r="E7" s="16" t="n">
        <x:f>IFERROR(B7*C7*(1+D7),"")</x:f>
        <x:v>11500</x:v>
      </x:c>
      <x:c r="F7" s="16" t="str">
        <x:v>Kitchen</x:v>
      </x:c>
      <x:c r="G7" s="16" t="n">
        <x:v>46023</x:v>
      </x:c>
      <x:c r="H7" s="15" t="str"/>
      <x:c r="I7" s="1"/>
      <x:c r="J7" s="1"/>
      <x:c r="K7" s="1"/>
    </x:row>
    <x:row r="8" ht="15" hidden="0" customHeight="1">
      <x:c r="A8" s="15" t="str">
        <x:v>Crew</x:v>
      </x:c>
      <x:c r="B8" s="16" t="n">
        <x:v>8</x:v>
      </x:c>
      <x:c r="C8" s="16" t="n">
        <x:v>4500</x:v>
      </x:c>
      <x:c r="D8" s="16" t="n">
        <x:v>0.15</x:v>
      </x:c>
      <x:c r="E8" s="16" t="n">
        <x:f>IFERROR(B8*C8*(1+D8),"")</x:f>
        <x:v>41400</x:v>
      </x:c>
      <x:c r="F8" s="16" t="str">
        <x:v>Mixed</x:v>
      </x:c>
      <x:c r="G8" s="16" t="n">
        <x:v>46037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 t="n">
        <x:f>IFERROR(B9*C9*(1+D9),"")</x:f>
        <x:v>0</x:v>
      </x:c>
      <x:c r="F9" s="16"/>
      <x:c r="G9" s="16"/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IFERROR(B10*C10*(1+D10),"")</x:f>
        <x:v>0</x:v>
      </x:c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IFERROR(B11*C11*(1+D11),"")</x:f>
        <x:v>0</x:v>
      </x:c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IFERROR(B12*C12*(1+D12),"")</x:f>
        <x:v>0</x:v>
      </x:c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IFERROR(B13*C13*(1+D13),"")</x:f>
        <x:v>0</x:v>
      </x:c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IFERROR(B14*C14*(1+D14),"")</x:f>
        <x:v>0</x:v>
      </x:c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IFERROR(B15*C15*(1+D15),"")</x:f>
        <x:v>0</x:v>
      </x:c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IFERROR(B16*C16*(1+D16),"")</x:f>
        <x:v>0</x:v>
      </x:c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IFERROR(B17*C17*(1+D17),"")</x:f>
        <x:v>0</x:v>
      </x:c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IFERROR(B18*C18*(1+D18),"")</x:f>
        <x:v>0</x:v>
      </x:c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IFERROR(B19*C19*(1+D19),"")</x:f>
        <x:v>0</x:v>
      </x:c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IFERROR(B20*C20*(1+D20),"")</x:f>
        <x:v>0</x:v>
      </x:c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IFERROR(B21*C21*(1+D21),"")</x:f>
        <x:v>0</x:v>
      </x:c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IFERROR(B22*C22*(1+D22),"")</x:f>
        <x:v>0</x:v>
      </x:c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IFERROR(B23*C23*(1+D23),"")</x:f>
        <x:v>0</x:v>
      </x:c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IFERROR(B24*C24*(1+D24),"")</x:f>
        <x:v>0</x:v>
      </x:c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IFERROR(B25*C25*(1+D25),"")</x:f>
        <x:v>0</x:v>
      </x:c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41b837fb13874af6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Staffing Plan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6401cc4f0b8648a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Staffing Plan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617430a90bd9434e"/>
</x:worksheet>
</file>