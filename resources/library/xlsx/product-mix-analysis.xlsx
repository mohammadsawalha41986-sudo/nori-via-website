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f64772c7084d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3b71ca71e3ba48d1"/>
    <x:sheet xmlns:r="http://schemas.openxmlformats.org/officeDocument/2006/relationships" name="Summary" sheetId="2" r:id="R9c03bc4e70084c1c"/>
    <x:sheet xmlns:r="http://schemas.openxmlformats.org/officeDocument/2006/relationships" name="Instructions" sheetId="3" r:id="Rbd9e0ee21c3c48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family val="2"/>
      <x:scheme val="minor"/>
    </x:font>
    <x:font>
      <x:b/>
      <x:sz val="12"/>
      <x:color rgb="FF17324D"/>
    </x:font>
    <x:font>
      <x:b/>
      <x:sz val="10"/>
      <x:color rgb="FFFFFFFF"/>
    </x:font>
    <x:font>
      <x:sz val="10"/>
      <x:color rgb="FF1F2933"/>
    </x:font>
    <x:font>
      <x:sz val="10"/>
      <x:color rgb="FF0070C0"/>
    </x:font>
    <x:font>
      <x:b/>
      <x:sz val="10"/>
      <x:color rgb="FF17324D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/>
    <x:xf numFmtId="0" fontId="2" fillId="2" borderId="0" xfId="0" applyAlignment="1">
      <x:alignment vertical="center" wrapText="1"/>
    </x:xf>
    <x:xf numFmtId="0" fontId="3" fillId="0" borderId="0" xfId="0"/>
    <x:xf numFmtId="0" fontId="4" fillId="0" borderId="0" xfId="0"/>
    <x:xf numFmtId="0" fontId="5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994d1fd76d4c93" /><Relationship Type="http://schemas.openxmlformats.org/officeDocument/2006/relationships/theme" Target="/xl/theme/theme1.xml" Id="Ra2e02fa3b5c3480b" /><Relationship Type="http://schemas.openxmlformats.org/officeDocument/2006/relationships/sharedStrings" Target="/xl/sharedStrings.xml" Id="Rf584e74d7b8b4f35" /><Relationship Type="http://schemas.openxmlformats.org/officeDocument/2006/relationships/worksheet" Target="/xl/worksheets/sheet1.xml" Id="R3b71ca71e3ba48d1" /><Relationship Type="http://schemas.openxmlformats.org/officeDocument/2006/relationships/worksheet" Target="/xl/worksheets/sheet2.xml" Id="R9c03bc4e70084c1c" /><Relationship Type="http://schemas.openxmlformats.org/officeDocument/2006/relationships/worksheet" Target="/xl/worksheets/sheet3.xml" Id="Rbd9e0ee21c3c48e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fd30ab3c704b40a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22a30979e23c46d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30a4c4c7ac4e4ecc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f620b4d2-c70f-4b82-893d-7630bda99d6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30ab3c704b40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7d584817-8d4d-432d-aa18-039a5328ced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a30979e23c46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17118c6d-9789-41cf-85ed-f941ec4aa55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a4c4c7ac4e4e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5c45966cc124cd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aa5c6fc7839442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ebf77b2508cb4104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baseColWidth="8" defaultRowHeight="15"/>
  <x:cols>
    <x:col min="1" max="1" width="22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</x:cols>
  <x:sheetData>
    <x:row r="1" ht="48" customHeight="1"/>
    <x:row r="2">
      <x:c r="A2" s="1" t="inlineStr">
        <x:is>
          <x:t xml:space="preserve">Noriva Product Mix Analysis</x:t>
        </x:is>
      </x:c>
    </x:row>
    <x:row r="5">
      <x:c r="A5" s="2" t="inlineStr">
        <x:is>
          <x:t xml:space="preserve">Category</x:t>
        </x:is>
      </x:c>
      <x:c r="B5" s="2" t="inlineStr">
        <x:is>
          <x:t xml:space="preserve">Item</x:t>
        </x:is>
      </x:c>
      <x:c r="C5" s="2" t="inlineStr">
        <x:is>
          <x:t xml:space="preserve">Units this period</x:t>
        </x:is>
      </x:c>
      <x:c r="D5" s="2" t="inlineStr">
        <x:is>
          <x:t xml:space="preserve">Units last period</x:t>
        </x:is>
      </x:c>
      <x:c r="E5" s="2" t="inlineStr">
        <x:is>
          <x:t xml:space="preserve">Contribution per unit</x:t>
        </x:is>
      </x:c>
      <x:c r="F5" s="2" t="inlineStr">
        <x:is>
          <x:t xml:space="preserve">Share of units</x:t>
        </x:is>
      </x:c>
      <x:c r="G5" s="2" t="inlineStr">
        <x:is>
          <x:t xml:space="preserve">Period movement</x:t>
        </x:is>
      </x:c>
      <x:c r="H5" s="2" t="inlineStr">
        <x:is>
          <x:t xml:space="preserve">Movement %</x:t>
        </x:is>
      </x:c>
      <x:c r="I5" s="2" t="inlineStr">
        <x:is>
          <x:t xml:space="preserve">Weighted contribution</x:t>
        </x:is>
      </x:c>
    </x:row>
    <x:row r="6">
      <x:c r="A6" s="3" t="inlineStr">
        <x:is>
          <x:t xml:space="preserve">Category A</x:t>
        </x:is>
      </x:c>
      <x:c r="B6" s="4" t="inlineStr">
        <x:is>
          <x:t xml:space="preserve">Item A</x:t>
        </x:is>
      </x:c>
      <x:c r="C6" s="4" t="n"/>
      <x:c r="D6" s="4" t="n"/>
      <x:c r="E6" s="4" t="n"/>
      <x:c r="F6" s="4" t="str">
        <x:f>IFERROR(C6/SUM($C$6:$C$25),"")</x:f>
      </x:c>
      <x:c r="G6" s="4" t="n">
        <x:f>IFERROR(C6-D6,"")</x:f>
        <x:v>0</x:v>
      </x:c>
      <x:c r="H6" s="4" t="str">
        <x:f>IFERROR((C6-D6)/D6,"")</x:f>
      </x:c>
      <x:c r="I6" s="4" t="n">
        <x:f>IFERROR(C6*E6,"")</x:f>
        <x:v>0</x:v>
      </x:c>
    </x:row>
    <x:row r="7">
      <x:c r="A7" s="3" t="inlineStr">
        <x:is>
          <x:t xml:space="preserve">Category A</x:t>
        </x:is>
      </x:c>
      <x:c r="B7" s="4" t="inlineStr">
        <x:is>
          <x:t xml:space="preserve">Item B</x:t>
        </x:is>
      </x:c>
      <x:c r="C7" s="4" t="n"/>
      <x:c r="D7" s="4" t="n"/>
      <x:c r="E7" s="4" t="n"/>
      <x:c r="F7" s="4" t="str">
        <x:f>IFERROR(C7/SUM($C$6:$C$25),"")</x:f>
      </x:c>
      <x:c r="G7" s="4" t="n">
        <x:f>IFERROR(C7-D7,"")</x:f>
        <x:v>0</x:v>
      </x:c>
      <x:c r="H7" s="4" t="str">
        <x:f>IFERROR((C7-D7)/D7,"")</x:f>
      </x:c>
      <x:c r="I7" s="4" t="n">
        <x:f>IFERROR(C7*E7,"")</x:f>
        <x:v>0</x:v>
      </x:c>
    </x:row>
    <x:row r="8">
      <x:c r="A8" s="3" t="inlineStr">
        <x:is>
          <x:t xml:space="preserve">Category B</x:t>
        </x:is>
      </x:c>
      <x:c r="B8" s="4" t="inlineStr">
        <x:is>
          <x:t xml:space="preserve">Item C</x:t>
        </x:is>
      </x:c>
      <x:c r="C8" s="4" t="n"/>
      <x:c r="D8" s="4" t="n"/>
      <x:c r="E8" s="4" t="n"/>
      <x:c r="F8" s="4" t="str">
        <x:f>IFERROR(C8/SUM($C$6:$C$25),"")</x:f>
      </x:c>
      <x:c r="G8" s="4" t="n">
        <x:f>IFERROR(C8-D8,"")</x:f>
        <x:v>0</x:v>
      </x:c>
      <x:c r="H8" s="4" t="str">
        <x:f>IFERROR((C8-D8)/D8,"")</x:f>
      </x:c>
      <x:c r="I8" s="4" t="n">
        <x:f>IFERROR(C8*E8,"")</x:f>
        <x:v>0</x:v>
      </x:c>
    </x:row>
    <x:row r="9">
      <x:c r="A9" s="3" t="n"/>
      <x:c r="B9" s="4" t="n"/>
      <x:c r="C9" s="4" t="n"/>
      <x:c r="D9" s="4" t="n"/>
      <x:c r="E9" s="4" t="n"/>
      <x:c r="F9" s="4" t="str">
        <x:f>IFERROR(C9/SUM($C$6:$C$25),"")</x:f>
      </x:c>
      <x:c r="G9" s="4" t="n">
        <x:f>IFERROR(C9-D9,"")</x:f>
        <x:v>0</x:v>
      </x:c>
      <x:c r="H9" s="4" t="str">
        <x:f>IFERROR((C9-D9)/D9,"")</x:f>
      </x:c>
      <x:c r="I9" s="4" t="n">
        <x:f>IFERROR(C9*E9,"")</x:f>
        <x:v>0</x:v>
      </x:c>
    </x:row>
    <x:row r="10">
      <x:c r="A10" s="3" t="n"/>
      <x:c r="B10" s="4" t="n"/>
      <x:c r="C10" s="4" t="n"/>
      <x:c r="D10" s="4" t="n"/>
      <x:c r="E10" s="4" t="n"/>
      <x:c r="F10" s="4" t="str">
        <x:f>IFERROR(C10/SUM($C$6:$C$25),"")</x:f>
      </x:c>
      <x:c r="G10" s="4" t="n">
        <x:f>IFERROR(C10-D10,"")</x:f>
        <x:v>0</x:v>
      </x:c>
      <x:c r="H10" s="4" t="str">
        <x:f>IFERROR((C10-D10)/D10,"")</x:f>
      </x:c>
      <x:c r="I10" s="4" t="n">
        <x:f>IFERROR(C10*E10,"")</x:f>
        <x:v>0</x:v>
      </x:c>
    </x:row>
    <x:row r="11">
      <x:c r="A11" s="3" t="n"/>
      <x:c r="B11" s="4" t="n"/>
      <x:c r="C11" s="4" t="n"/>
      <x:c r="D11" s="4" t="n"/>
      <x:c r="E11" s="4" t="n"/>
      <x:c r="F11" s="4" t="str">
        <x:f>IFERROR(C11/SUM($C$6:$C$25),"")</x:f>
      </x:c>
      <x:c r="G11" s="4" t="n">
        <x:f>IFERROR(C11-D11,"")</x:f>
        <x:v>0</x:v>
      </x:c>
      <x:c r="H11" s="4" t="str">
        <x:f>IFERROR((C11-D11)/D11,"")</x:f>
      </x:c>
      <x:c r="I11" s="4" t="n">
        <x:f>IFERROR(C11*E11,"")</x:f>
        <x:v>0</x:v>
      </x:c>
    </x:row>
    <x:row r="12">
      <x:c r="A12" s="3" t="n"/>
      <x:c r="B12" s="4" t="n"/>
      <x:c r="C12" s="4" t="n"/>
      <x:c r="D12" s="4" t="n"/>
      <x:c r="E12" s="4" t="n"/>
      <x:c r="F12" s="4" t="str">
        <x:f>IFERROR(C12/SUM($C$6:$C$25),"")</x:f>
      </x:c>
      <x:c r="G12" s="4" t="n">
        <x:f>IFERROR(C12-D12,"")</x:f>
        <x:v>0</x:v>
      </x:c>
      <x:c r="H12" s="4" t="str">
        <x:f>IFERROR((C12-D12)/D12,"")</x:f>
      </x:c>
      <x:c r="I12" s="4" t="n">
        <x:f>IFERROR(C12*E12,"")</x:f>
        <x:v>0</x:v>
      </x:c>
    </x:row>
    <x:row r="13">
      <x:c r="A13" s="3" t="n"/>
      <x:c r="B13" s="4" t="n"/>
      <x:c r="C13" s="4" t="n"/>
      <x:c r="D13" s="4" t="n"/>
      <x:c r="E13" s="4" t="n"/>
      <x:c r="F13" s="4" t="str">
        <x:f>IFERROR(C13/SUM($C$6:$C$25),"")</x:f>
      </x:c>
      <x:c r="G13" s="4" t="n">
        <x:f>IFERROR(C13-D13,"")</x:f>
        <x:v>0</x:v>
      </x:c>
      <x:c r="H13" s="4" t="str">
        <x:f>IFERROR((C13-D13)/D13,"")</x:f>
      </x:c>
      <x:c r="I13" s="4" t="n">
        <x:f>IFERROR(C13*E13,"")</x:f>
        <x:v>0</x:v>
      </x:c>
    </x:row>
    <x:row r="14">
      <x:c r="A14" s="3" t="n"/>
      <x:c r="B14" s="4" t="n"/>
      <x:c r="C14" s="4" t="n"/>
      <x:c r="D14" s="4" t="n"/>
      <x:c r="E14" s="4" t="n"/>
      <x:c r="F14" s="4" t="str">
        <x:f>IFERROR(C14/SUM($C$6:$C$25),"")</x:f>
      </x:c>
      <x:c r="G14" s="4" t="n">
        <x:f>IFERROR(C14-D14,"")</x:f>
        <x:v>0</x:v>
      </x:c>
      <x:c r="H14" s="4" t="str">
        <x:f>IFERROR((C14-D14)/D14,"")</x:f>
      </x:c>
      <x:c r="I14" s="4" t="n">
        <x:f>IFERROR(C14*E14,"")</x:f>
        <x:v>0</x:v>
      </x:c>
    </x:row>
    <x:row r="15">
      <x:c r="A15" s="3" t="n"/>
      <x:c r="B15" s="4" t="n"/>
      <x:c r="C15" s="4" t="n"/>
      <x:c r="D15" s="4" t="n"/>
      <x:c r="E15" s="4" t="n"/>
      <x:c r="F15" s="4" t="str">
        <x:f>IFERROR(C15/SUM($C$6:$C$25),"")</x:f>
      </x:c>
      <x:c r="G15" s="4" t="n">
        <x:f>IFERROR(C15-D15,"")</x:f>
        <x:v>0</x:v>
      </x:c>
      <x:c r="H15" s="4" t="str">
        <x:f>IFERROR((C15-D15)/D15,"")</x:f>
      </x:c>
      <x:c r="I15" s="4" t="n">
        <x:f>IFERROR(C15*E15,"")</x:f>
        <x:v>0</x:v>
      </x:c>
    </x:row>
    <x:row r="16">
      <x:c r="A16" s="3" t="n"/>
      <x:c r="B16" s="4" t="n"/>
      <x:c r="C16" s="4" t="n"/>
      <x:c r="D16" s="4" t="n"/>
      <x:c r="E16" s="4" t="n"/>
      <x:c r="F16" s="4" t="str">
        <x:f>IFERROR(C16/SUM($C$6:$C$25),"")</x:f>
      </x:c>
      <x:c r="G16" s="4" t="n">
        <x:f>IFERROR(C16-D16,"")</x:f>
        <x:v>0</x:v>
      </x:c>
      <x:c r="H16" s="4" t="str">
        <x:f>IFERROR((C16-D16)/D16,"")</x:f>
      </x:c>
      <x:c r="I16" s="4" t="n">
        <x:f>IFERROR(C16*E16,"")</x:f>
        <x:v>0</x:v>
      </x:c>
    </x:row>
    <x:row r="17">
      <x:c r="A17" s="3" t="n"/>
      <x:c r="B17" s="4" t="n"/>
      <x:c r="C17" s="4" t="n"/>
      <x:c r="D17" s="4" t="n"/>
      <x:c r="E17" s="4" t="n"/>
      <x:c r="F17" s="4" t="str">
        <x:f>IFERROR(C17/SUM($C$6:$C$25),"")</x:f>
      </x:c>
      <x:c r="G17" s="4" t="n">
        <x:f>IFERROR(C17-D17,"")</x:f>
        <x:v>0</x:v>
      </x:c>
      <x:c r="H17" s="4" t="str">
        <x:f>IFERROR((C17-D17)/D17,"")</x:f>
      </x:c>
      <x:c r="I17" s="4" t="n">
        <x:f>IFERROR(C17*E17,"")</x:f>
        <x:v>0</x:v>
      </x:c>
    </x:row>
    <x:row r="18">
      <x:c r="A18" s="3" t="n"/>
      <x:c r="B18" s="4" t="n"/>
      <x:c r="C18" s="4" t="n"/>
      <x:c r="D18" s="4" t="n"/>
      <x:c r="E18" s="4" t="n"/>
      <x:c r="F18" s="4" t="str">
        <x:f>IFERROR(C18/SUM($C$6:$C$25),"")</x:f>
      </x:c>
      <x:c r="G18" s="4" t="n">
        <x:f>IFERROR(C18-D18,"")</x:f>
        <x:v>0</x:v>
      </x:c>
      <x:c r="H18" s="4" t="str">
        <x:f>IFERROR((C18-D18)/D18,"")</x:f>
      </x:c>
      <x:c r="I18" s="4" t="n">
        <x:f>IFERROR(C18*E18,"")</x:f>
        <x:v>0</x:v>
      </x:c>
    </x:row>
    <x:row r="19">
      <x:c r="A19" s="3" t="n"/>
      <x:c r="B19" s="4" t="n"/>
      <x:c r="C19" s="4" t="n"/>
      <x:c r="D19" s="4" t="n"/>
      <x:c r="E19" s="4" t="n"/>
      <x:c r="F19" s="4" t="str">
        <x:f>IFERROR(C19/SUM($C$6:$C$25),"")</x:f>
      </x:c>
      <x:c r="G19" s="4" t="n">
        <x:f>IFERROR(C19-D19,"")</x:f>
        <x:v>0</x:v>
      </x:c>
      <x:c r="H19" s="4" t="str">
        <x:f>IFERROR((C19-D19)/D19,"")</x:f>
      </x:c>
      <x:c r="I19" s="4" t="n">
        <x:f>IFERROR(C19*E19,"")</x:f>
        <x:v>0</x:v>
      </x:c>
    </x:row>
    <x:row r="20">
      <x:c r="A20" s="3" t="n"/>
      <x:c r="B20" s="4" t="n"/>
      <x:c r="C20" s="4" t="n"/>
      <x:c r="D20" s="4" t="n"/>
      <x:c r="E20" s="4" t="n"/>
      <x:c r="F20" s="4" t="str">
        <x:f>IFERROR(C20/SUM($C$6:$C$25),"")</x:f>
      </x:c>
      <x:c r="G20" s="4" t="n">
        <x:f>IFERROR(C20-D20,"")</x:f>
        <x:v>0</x:v>
      </x:c>
      <x:c r="H20" s="4" t="str">
        <x:f>IFERROR((C20-D20)/D20,"")</x:f>
      </x:c>
      <x:c r="I20" s="4" t="n">
        <x:f>IFERROR(C20*E20,"")</x:f>
        <x:v>0</x:v>
      </x:c>
    </x:row>
    <x:row r="21">
      <x:c r="A21" s="3" t="n"/>
      <x:c r="B21" s="4" t="n"/>
      <x:c r="C21" s="4" t="n"/>
      <x:c r="D21" s="4" t="n"/>
      <x:c r="E21" s="4" t="n"/>
      <x:c r="F21" s="4" t="str">
        <x:f>IFERROR(C21/SUM($C$6:$C$25),"")</x:f>
      </x:c>
      <x:c r="G21" s="4" t="n">
        <x:f>IFERROR(C21-D21,"")</x:f>
        <x:v>0</x:v>
      </x:c>
      <x:c r="H21" s="4" t="str">
        <x:f>IFERROR((C21-D21)/D21,"")</x:f>
      </x:c>
      <x:c r="I21" s="4" t="n">
        <x:f>IFERROR(C21*E21,"")</x:f>
        <x:v>0</x:v>
      </x:c>
    </x:row>
    <x:row r="22">
      <x:c r="A22" s="3" t="n"/>
      <x:c r="B22" s="4" t="n"/>
      <x:c r="C22" s="4" t="n"/>
      <x:c r="D22" s="4" t="n"/>
      <x:c r="E22" s="4" t="n"/>
      <x:c r="F22" s="4" t="str">
        <x:f>IFERROR(C22/SUM($C$6:$C$25),"")</x:f>
      </x:c>
      <x:c r="G22" s="4" t="n">
        <x:f>IFERROR(C22-D22,"")</x:f>
        <x:v>0</x:v>
      </x:c>
      <x:c r="H22" s="4" t="str">
        <x:f>IFERROR((C22-D22)/D22,"")</x:f>
      </x:c>
      <x:c r="I22" s="4" t="n">
        <x:f>IFERROR(C22*E22,"")</x:f>
        <x:v>0</x:v>
      </x:c>
    </x:row>
    <x:row r="23">
      <x:c r="A23" s="3" t="n"/>
      <x:c r="B23" s="4" t="n"/>
      <x:c r="C23" s="4" t="n"/>
      <x:c r="D23" s="4" t="n"/>
      <x:c r="E23" s="4" t="n"/>
      <x:c r="F23" s="4" t="str">
        <x:f>IFERROR(C23/SUM($C$6:$C$25),"")</x:f>
      </x:c>
      <x:c r="G23" s="4" t="n">
        <x:f>IFERROR(C23-D23,"")</x:f>
        <x:v>0</x:v>
      </x:c>
      <x:c r="H23" s="4" t="str">
        <x:f>IFERROR((C23-D23)/D23,"")</x:f>
      </x:c>
      <x:c r="I23" s="4" t="n">
        <x:f>IFERROR(C23*E23,"")</x:f>
        <x:v>0</x:v>
      </x:c>
    </x:row>
    <x:row r="24">
      <x:c r="A24" s="3" t="n"/>
      <x:c r="B24" s="4" t="n"/>
      <x:c r="C24" s="4" t="n"/>
      <x:c r="D24" s="4" t="n"/>
      <x:c r="E24" s="4" t="n"/>
      <x:c r="F24" s="4" t="str">
        <x:f>IFERROR(C24/SUM($C$6:$C$25),"")</x:f>
      </x:c>
      <x:c r="G24" s="4" t="n">
        <x:f>IFERROR(C24-D24,"")</x:f>
        <x:v>0</x:v>
      </x:c>
      <x:c r="H24" s="4" t="str">
        <x:f>IFERROR((C24-D24)/D24,"")</x:f>
      </x:c>
      <x:c r="I24" s="4" t="n">
        <x:f>IFERROR(C24*E24,"")</x:f>
        <x:v>0</x:v>
      </x:c>
    </x:row>
    <x:row r="25">
      <x:c r="A25" s="3" t="n"/>
      <x:c r="B25" s="4" t="n"/>
      <x:c r="C25" s="4" t="n"/>
      <x:c r="D25" s="4" t="n"/>
      <x:c r="E25" s="4" t="n"/>
      <x:c r="F25" s="4" t="str">
        <x:f>IFERROR(C25/SUM($C$6:$C$25),"")</x:f>
      </x:c>
      <x:c r="G25" s="4" t="n">
        <x:f>IFERROR(C25-D25,"")</x:f>
        <x:v>0</x:v>
      </x:c>
      <x:c r="H25" s="4" t="str">
        <x:f>IFERROR((C25-D25)/D25,"")</x:f>
      </x:c>
      <x:c r="I25" s="4" t="n">
        <x:f>IFERROR(C25*E25,"")</x:f>
        <x:v>0</x:v>
      </x:c>
    </x:row>
  </x:sheetData>
  <x:pageMargins left="0.7" right="0.7" top="0.75" bottom="0.75" header="0.3" footer="0.3"/>
  <x:drawing xmlns:r="http://schemas.openxmlformats.org/officeDocument/2006/relationships" r:id="R35c45966cc124cda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8" customWidth="1"/>
  </x:cols>
  <x:sheetData>
    <x:row r="1" ht="48" customHeight="1"/>
    <x:row r="2">
      <x:c r="A2" s="1" t="inlineStr">
        <x:is>
          <x:t xml:space="preserve">Noriva Product Mix Analysis</x:t>
        </x:is>
      </x:c>
    </x:row>
    <x:row r="5">
      <x:c r="A5" s="2" t="inlineStr">
        <x:is>
          <x:t xml:space="preserve">Metric</x:t>
        </x:is>
      </x:c>
      <x:c r="B5" s="2" t="inlineStr">
        <x:is>
          <x:t xml:space="preserve">Result</x:t>
        </x:is>
      </x:c>
    </x:row>
    <x:row r="6">
      <x:c r="A6" s="3" t="inlineStr">
        <x:is>
          <x:t xml:space="preserve">Items entered</x:t>
        </x:is>
      </x:c>
      <x:c r="B6" s="4" t="n">
        <x:f>COUNTA(Inputs!B6:B25)</x:f>
        <x:v>3</x:v>
      </x:c>
    </x:row>
    <x:row r="7">
      <x:c r="A7" s="3" t="inlineStr">
        <x:is>
          <x:t xml:space="preserve">Units this period</x:t>
        </x:is>
      </x:c>
      <x:c r="B7" s="4" t="n">
        <x:f>SUM(Inputs!C6:C25)</x:f>
        <x:v>0</x:v>
      </x:c>
    </x:row>
    <x:row r="8">
      <x:c r="A8" s="3" t="inlineStr">
        <x:is>
          <x:t xml:space="preserve">Units last period</x:t>
        </x:is>
      </x:c>
      <x:c r="B8" s="4" t="n">
        <x:f>SUM(Inputs!D6:D25)</x:f>
        <x:v>0</x:v>
      </x:c>
    </x:row>
    <x:row r="9">
      <x:c r="A9" s="3" t="inlineStr">
        <x:is>
          <x:t xml:space="preserve">Mix-weighted contribution</x:t>
        </x:is>
      </x:c>
      <x:c r="B9" s="4" t="n">
        <x:f>SUM(Inputs!I6:I25)</x:f>
        <x:v>0</x:v>
      </x:c>
    </x:row>
    <x:row r="10">
      <x:c r="A10" s="3" t="inlineStr">
        <x:is>
          <x:t xml:space="preserve">Largest gain</x:t>
        </x:is>
      </x:c>
      <x:c r="B10" s="4" t="n">
        <x:f>IFERROR(MAX(Inputs!G6:G25),"")</x:f>
        <x:v>0</x:v>
      </x:c>
    </x:row>
    <x:row r="11">
      <x:c r="A11" s="3" t="inlineStr">
        <x:is>
          <x:t xml:space="preserve">Largest fall</x:t>
        </x:is>
      </x:c>
      <x:c r="B11" s="4" t="n">
        <x:f>IFERROR(MIN(Inputs!G6:G25),"")</x:f>
        <x:v>0</x:v>
      </x:c>
    </x:row>
  </x:sheetData>
  <x:pageMargins left="0.7" right="0.7" top="0.75" bottom="0.75" header="0.3" footer="0.3"/>
  <x:drawing xmlns:r="http://schemas.openxmlformats.org/officeDocument/2006/relationships" r:id="Raa5c6fc7839442dd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96" customWidth="1"/>
  </x:cols>
  <x:sheetData>
    <x:row r="1" ht="48" customHeight="1"/>
    <x:row r="2">
      <x:c r="A2" s="1" t="inlineStr">
        <x:is>
          <x:t xml:space="preserve">Noriva Product Mix Analysis</x:t>
        </x:is>
      </x:c>
    </x:row>
    <x:row r="4">
      <x:c r="A4" s="5" t="inlineStr">
        <x:is>
          <x:t xml:space="preserve">How to use this workbook</x:t>
        </x:is>
      </x:c>
    </x:row>
    <x:row r="6">
      <x:c r="A6" s="3" t="n">
        <x:v>1</x:v>
      </x:c>
      <x:c r="B6" s="3" t="inlineStr">
        <x:is>
          <x:t xml:space="preserve">Replace sample rows with your verified business data.</x:t>
        </x:is>
      </x:c>
    </x:row>
    <x:row r="7">
      <x:c r="A7" s="3" t="n">
        <x:v>2</x:v>
      </x:c>
      <x:c r="B7" s="3" t="inlineStr">
        <x:is>
          <x:t xml:space="preserve">Yellow and blue-font cells are intended for user inputs; calculated cells contain formulas.</x:t>
        </x:is>
      </x:c>
    </x:row>
    <x:row r="8">
      <x:c r="A8" s="3" t="n">
        <x:v>3</x:v>
      </x:c>
      <x:c r="B8" s="3" t="inlineStr">
        <x:is>
          <x:t xml:space="preserve">Review the Summary after completing the input table.</x:t>
        </x:is>
      </x:c>
    </x:row>
    <x:row r="9">
      <x:c r="A9" s="3" t="n">
        <x:v>4</x:v>
      </x:c>
      <x:c r="B9" s="3" t="inlineStr">
        <x:is>
          <x:t xml:space="preserve">Do not use sample values as market facts or investment advice.</x:t>
        </x:is>
      </x:c>
    </x:row>
  </x:sheetData>
  <x:pageMargins left="0.7" right="0.7" top="0.75" bottom="0.75" header="0.3" footer="0.3"/>
  <x:drawing xmlns:r="http://schemas.openxmlformats.org/officeDocument/2006/relationships" r:id="Rebf77b2508cb4104"/>
</x:worksheet>
</file>