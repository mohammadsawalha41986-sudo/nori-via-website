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2">
      <c r="A2" s="1" t="inlineStr">
        <is>
          <t>Noriva Product Mix Analysis</t>
        </is>
      </c>
    </row>
    <row r="5">
      <c r="A5" s="2" t="inlineStr">
        <is>
          <t>Category</t>
        </is>
      </c>
      <c r="B5" s="2" t="inlineStr">
        <is>
          <t>Item</t>
        </is>
      </c>
      <c r="C5" s="2" t="inlineStr">
        <is>
          <t>Units this period</t>
        </is>
      </c>
      <c r="D5" s="2" t="inlineStr">
        <is>
          <t>Units last period</t>
        </is>
      </c>
      <c r="E5" s="2" t="inlineStr">
        <is>
          <t>Contribution per unit</t>
        </is>
      </c>
      <c r="F5" s="2" t="inlineStr">
        <is>
          <t>Share of units</t>
        </is>
      </c>
      <c r="G5" s="2" t="inlineStr">
        <is>
          <t>Period movement</t>
        </is>
      </c>
      <c r="H5" s="2" t="inlineStr">
        <is>
          <t>Movement %</t>
        </is>
      </c>
      <c r="I5" s="2" t="inlineStr">
        <is>
          <t>Weighted contribution</t>
        </is>
      </c>
    </row>
    <row r="6">
      <c r="A6" s="3" t="inlineStr">
        <is>
          <t>Category A</t>
        </is>
      </c>
      <c r="B6" s="4" t="inlineStr">
        <is>
          <t>Item A</t>
        </is>
      </c>
      <c r="C6" s="4" t="n"/>
      <c r="D6" s="4" t="n"/>
      <c r="E6" s="4" t="n"/>
      <c r="F6" s="4">
        <f>IFERROR(C6/SUM($C$6:$C$25),"")</f>
        <v/>
      </c>
      <c r="G6" s="4">
        <f>IFERROR(C6-D6,"")</f>
        <v/>
      </c>
      <c r="H6" s="4">
        <f>IFERROR((C6-D6)/D6,"")</f>
        <v/>
      </c>
      <c r="I6" s="4">
        <f>IFERROR(C6*E6,"")</f>
        <v/>
      </c>
    </row>
    <row r="7">
      <c r="A7" s="3" t="inlineStr">
        <is>
          <t>Category A</t>
        </is>
      </c>
      <c r="B7" s="4" t="inlineStr">
        <is>
          <t>Item B</t>
        </is>
      </c>
      <c r="C7" s="4" t="n"/>
      <c r="D7" s="4" t="n"/>
      <c r="E7" s="4" t="n"/>
      <c r="F7" s="4">
        <f>IFERROR(C7/SUM($C$6:$C$25),"")</f>
        <v/>
      </c>
      <c r="G7" s="4">
        <f>IFERROR(C7-D7,"")</f>
        <v/>
      </c>
      <c r="H7" s="4">
        <f>IFERROR((C7-D7)/D7,"")</f>
        <v/>
      </c>
      <c r="I7" s="4">
        <f>IFERROR(C7*E7,"")</f>
        <v/>
      </c>
    </row>
    <row r="8">
      <c r="A8" s="3" t="inlineStr">
        <is>
          <t>Category B</t>
        </is>
      </c>
      <c r="B8" s="4" t="inlineStr">
        <is>
          <t>Item C</t>
        </is>
      </c>
      <c r="C8" s="4" t="n"/>
      <c r="D8" s="4" t="n"/>
      <c r="E8" s="4" t="n"/>
      <c r="F8" s="4">
        <f>IFERROR(C8/SUM($C$6:$C$25),"")</f>
        <v/>
      </c>
      <c r="G8" s="4">
        <f>IFERROR(C8-D8,"")</f>
        <v/>
      </c>
      <c r="H8" s="4">
        <f>IFERROR((C8-D8)/D8,"")</f>
        <v/>
      </c>
      <c r="I8" s="4">
        <f>IFERROR(C8*E8,"")</f>
        <v/>
      </c>
    </row>
    <row r="9">
      <c r="A9" s="3" t="n"/>
      <c r="B9" s="4" t="n"/>
      <c r="C9" s="4" t="n"/>
      <c r="D9" s="4" t="n"/>
      <c r="E9" s="4" t="n"/>
      <c r="F9" s="4">
        <f>IFERROR(C9/SUM($C$6:$C$25),"")</f>
        <v/>
      </c>
      <c r="G9" s="4">
        <f>IFERROR(C9-D9,"")</f>
        <v/>
      </c>
      <c r="H9" s="4">
        <f>IFERROR((C9-D9)/D9,"")</f>
        <v/>
      </c>
      <c r="I9" s="4">
        <f>IFERROR(C9*E9,"")</f>
        <v/>
      </c>
    </row>
    <row r="10">
      <c r="A10" s="3" t="n"/>
      <c r="B10" s="4" t="n"/>
      <c r="C10" s="4" t="n"/>
      <c r="D10" s="4" t="n"/>
      <c r="E10" s="4" t="n"/>
      <c r="F10" s="4">
        <f>IFERROR(C10/SUM($C$6:$C$25),"")</f>
        <v/>
      </c>
      <c r="G10" s="4">
        <f>IFERROR(C10-D10,"")</f>
        <v/>
      </c>
      <c r="H10" s="4">
        <f>IFERROR((C10-D10)/D10,"")</f>
        <v/>
      </c>
      <c r="I10" s="4">
        <f>IFERROR(C10*E10,"")</f>
        <v/>
      </c>
    </row>
    <row r="11">
      <c r="A11" s="3" t="n"/>
      <c r="B11" s="4" t="n"/>
      <c r="C11" s="4" t="n"/>
      <c r="D11" s="4" t="n"/>
      <c r="E11" s="4" t="n"/>
      <c r="F11" s="4">
        <f>IFERROR(C11/SUM($C$6:$C$25),"")</f>
        <v/>
      </c>
      <c r="G11" s="4">
        <f>IFERROR(C11-D11,"")</f>
        <v/>
      </c>
      <c r="H11" s="4">
        <f>IFERROR((C11-D11)/D11,"")</f>
        <v/>
      </c>
      <c r="I11" s="4">
        <f>IFERROR(C11*E11,"")</f>
        <v/>
      </c>
    </row>
    <row r="12">
      <c r="A12" s="3" t="n"/>
      <c r="B12" s="4" t="n"/>
      <c r="C12" s="4" t="n"/>
      <c r="D12" s="4" t="n"/>
      <c r="E12" s="4" t="n"/>
      <c r="F12" s="4">
        <f>IFERROR(C12/SUM($C$6:$C$25),"")</f>
        <v/>
      </c>
      <c r="G12" s="4">
        <f>IFERROR(C12-D12,"")</f>
        <v/>
      </c>
      <c r="H12" s="4">
        <f>IFERROR((C12-D12)/D12,"")</f>
        <v/>
      </c>
      <c r="I12" s="4">
        <f>IFERROR(C12*E12,"")</f>
        <v/>
      </c>
    </row>
    <row r="13">
      <c r="A13" s="3" t="n"/>
      <c r="B13" s="4" t="n"/>
      <c r="C13" s="4" t="n"/>
      <c r="D13" s="4" t="n"/>
      <c r="E13" s="4" t="n"/>
      <c r="F13" s="4">
        <f>IFERROR(C13/SUM($C$6:$C$25),"")</f>
        <v/>
      </c>
      <c r="G13" s="4">
        <f>IFERROR(C13-D13,"")</f>
        <v/>
      </c>
      <c r="H13" s="4">
        <f>IFERROR((C13-D13)/D13,"")</f>
        <v/>
      </c>
      <c r="I13" s="4">
        <f>IFERROR(C13*E13,"")</f>
        <v/>
      </c>
    </row>
    <row r="14">
      <c r="A14" s="3" t="n"/>
      <c r="B14" s="4" t="n"/>
      <c r="C14" s="4" t="n"/>
      <c r="D14" s="4" t="n"/>
      <c r="E14" s="4" t="n"/>
      <c r="F14" s="4">
        <f>IFERROR(C14/SUM($C$6:$C$25),"")</f>
        <v/>
      </c>
      <c r="G14" s="4">
        <f>IFERROR(C14-D14,"")</f>
        <v/>
      </c>
      <c r="H14" s="4">
        <f>IFERROR((C14-D14)/D14,"")</f>
        <v/>
      </c>
      <c r="I14" s="4">
        <f>IFERROR(C14*E14,"")</f>
        <v/>
      </c>
    </row>
    <row r="15">
      <c r="A15" s="3" t="n"/>
      <c r="B15" s="4" t="n"/>
      <c r="C15" s="4" t="n"/>
      <c r="D15" s="4" t="n"/>
      <c r="E15" s="4" t="n"/>
      <c r="F15" s="4">
        <f>IFERROR(C15/SUM($C$6:$C$25),"")</f>
        <v/>
      </c>
      <c r="G15" s="4">
        <f>IFERROR(C15-D15,"")</f>
        <v/>
      </c>
      <c r="H15" s="4">
        <f>IFERROR((C15-D15)/D15,"")</f>
        <v/>
      </c>
      <c r="I15" s="4">
        <f>IFERROR(C15*E15,"")</f>
        <v/>
      </c>
    </row>
    <row r="16">
      <c r="A16" s="3" t="n"/>
      <c r="B16" s="4" t="n"/>
      <c r="C16" s="4" t="n"/>
      <c r="D16" s="4" t="n"/>
      <c r="E16" s="4" t="n"/>
      <c r="F16" s="4">
        <f>IFERROR(C16/SUM($C$6:$C$25),"")</f>
        <v/>
      </c>
      <c r="G16" s="4">
        <f>IFERROR(C16-D16,"")</f>
        <v/>
      </c>
      <c r="H16" s="4">
        <f>IFERROR((C16-D16)/D16,"")</f>
        <v/>
      </c>
      <c r="I16" s="4">
        <f>IFERROR(C16*E16,"")</f>
        <v/>
      </c>
    </row>
    <row r="17">
      <c r="A17" s="3" t="n"/>
      <c r="B17" s="4" t="n"/>
      <c r="C17" s="4" t="n"/>
      <c r="D17" s="4" t="n"/>
      <c r="E17" s="4" t="n"/>
      <c r="F17" s="4">
        <f>IFERROR(C17/SUM($C$6:$C$25),"")</f>
        <v/>
      </c>
      <c r="G17" s="4">
        <f>IFERROR(C17-D17,"")</f>
        <v/>
      </c>
      <c r="H17" s="4">
        <f>IFERROR((C17-D17)/D17,"")</f>
        <v/>
      </c>
      <c r="I17" s="4">
        <f>IFERROR(C17*E17,"")</f>
        <v/>
      </c>
    </row>
    <row r="18">
      <c r="A18" s="3" t="n"/>
      <c r="B18" s="4" t="n"/>
      <c r="C18" s="4" t="n"/>
      <c r="D18" s="4" t="n"/>
      <c r="E18" s="4" t="n"/>
      <c r="F18" s="4">
        <f>IFERROR(C18/SUM($C$6:$C$25),"")</f>
        <v/>
      </c>
      <c r="G18" s="4">
        <f>IFERROR(C18-D18,"")</f>
        <v/>
      </c>
      <c r="H18" s="4">
        <f>IFERROR((C18-D18)/D18,"")</f>
        <v/>
      </c>
      <c r="I18" s="4">
        <f>IFERROR(C18*E18,"")</f>
        <v/>
      </c>
    </row>
    <row r="19">
      <c r="A19" s="3" t="n"/>
      <c r="B19" s="4" t="n"/>
      <c r="C19" s="4" t="n"/>
      <c r="D19" s="4" t="n"/>
      <c r="E19" s="4" t="n"/>
      <c r="F19" s="4">
        <f>IFERROR(C19/SUM($C$6:$C$25),"")</f>
        <v/>
      </c>
      <c r="G19" s="4">
        <f>IFERROR(C19-D19,"")</f>
        <v/>
      </c>
      <c r="H19" s="4">
        <f>IFERROR((C19-D19)/D19,"")</f>
        <v/>
      </c>
      <c r="I19" s="4">
        <f>IFERROR(C19*E19,"")</f>
        <v/>
      </c>
    </row>
    <row r="20">
      <c r="A20" s="3" t="n"/>
      <c r="B20" s="4" t="n"/>
      <c r="C20" s="4" t="n"/>
      <c r="D20" s="4" t="n"/>
      <c r="E20" s="4" t="n"/>
      <c r="F20" s="4">
        <f>IFERROR(C20/SUM($C$6:$C$25),"")</f>
        <v/>
      </c>
      <c r="G20" s="4">
        <f>IFERROR(C20-D20,"")</f>
        <v/>
      </c>
      <c r="H20" s="4">
        <f>IFERROR((C20-D20)/D20,"")</f>
        <v/>
      </c>
      <c r="I20" s="4">
        <f>IFERROR(C20*E20,"")</f>
        <v/>
      </c>
    </row>
    <row r="21">
      <c r="A21" s="3" t="n"/>
      <c r="B21" s="4" t="n"/>
      <c r="C21" s="4" t="n"/>
      <c r="D21" s="4" t="n"/>
      <c r="E21" s="4" t="n"/>
      <c r="F21" s="4">
        <f>IFERROR(C21/SUM($C$6:$C$25),"")</f>
        <v/>
      </c>
      <c r="G21" s="4">
        <f>IFERROR(C21-D21,"")</f>
        <v/>
      </c>
      <c r="H21" s="4">
        <f>IFERROR((C21-D21)/D21,"")</f>
        <v/>
      </c>
      <c r="I21" s="4">
        <f>IFERROR(C21*E21,"")</f>
        <v/>
      </c>
    </row>
    <row r="22">
      <c r="A22" s="3" t="n"/>
      <c r="B22" s="4" t="n"/>
      <c r="C22" s="4" t="n"/>
      <c r="D22" s="4" t="n"/>
      <c r="E22" s="4" t="n"/>
      <c r="F22" s="4">
        <f>IFERROR(C22/SUM($C$6:$C$25),"")</f>
        <v/>
      </c>
      <c r="G22" s="4">
        <f>IFERROR(C22-D22,"")</f>
        <v/>
      </c>
      <c r="H22" s="4">
        <f>IFERROR((C22-D22)/D22,"")</f>
        <v/>
      </c>
      <c r="I22" s="4">
        <f>IFERROR(C22*E22,"")</f>
        <v/>
      </c>
    </row>
    <row r="23">
      <c r="A23" s="3" t="n"/>
      <c r="B23" s="4" t="n"/>
      <c r="C23" s="4" t="n"/>
      <c r="D23" s="4" t="n"/>
      <c r="E23" s="4" t="n"/>
      <c r="F23" s="4">
        <f>IFERROR(C23/SUM($C$6:$C$25),"")</f>
        <v/>
      </c>
      <c r="G23" s="4">
        <f>IFERROR(C23-D23,"")</f>
        <v/>
      </c>
      <c r="H23" s="4">
        <f>IFERROR((C23-D23)/D23,"")</f>
        <v/>
      </c>
      <c r="I23" s="4">
        <f>IFERROR(C23*E23,"")</f>
        <v/>
      </c>
    </row>
    <row r="24">
      <c r="A24" s="3" t="n"/>
      <c r="B24" s="4" t="n"/>
      <c r="C24" s="4" t="n"/>
      <c r="D24" s="4" t="n"/>
      <c r="E24" s="4" t="n"/>
      <c r="F24" s="4">
        <f>IFERROR(C24/SUM($C$6:$C$25),"")</f>
        <v/>
      </c>
      <c r="G24" s="4">
        <f>IFERROR(C24-D24,"")</f>
        <v/>
      </c>
      <c r="H24" s="4">
        <f>IFERROR((C24-D24)/D24,"")</f>
        <v/>
      </c>
      <c r="I24" s="4">
        <f>IFERROR(C24*E24,"")</f>
        <v/>
      </c>
    </row>
    <row r="25">
      <c r="A25" s="3" t="n"/>
      <c r="B25" s="4" t="n"/>
      <c r="C25" s="4" t="n"/>
      <c r="D25" s="4" t="n"/>
      <c r="E25" s="4" t="n"/>
      <c r="F25" s="4">
        <f>IFERROR(C25/SUM($C$6:$C$25),"")</f>
        <v/>
      </c>
      <c r="G25" s="4">
        <f>IFERROR(C25-D25,"")</f>
        <v/>
      </c>
      <c r="H25" s="4">
        <f>IFERROR((C25-D25)/D25,"")</f>
        <v/>
      </c>
      <c r="I25" s="4">
        <f>IFERROR(C25*E25,"")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Product Mix Analysis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Items entered</t>
        </is>
      </c>
      <c r="B6" s="4">
        <f>COUNTA(Inputs!B6:B25)</f>
        <v/>
      </c>
    </row>
    <row r="7">
      <c r="A7" s="3" t="inlineStr">
        <is>
          <t>Units this period</t>
        </is>
      </c>
      <c r="B7" s="4">
        <f>SUM(Inputs!C6:C25)</f>
        <v/>
      </c>
    </row>
    <row r="8">
      <c r="A8" s="3" t="inlineStr">
        <is>
          <t>Units last period</t>
        </is>
      </c>
      <c r="B8" s="4">
        <f>SUM(Inputs!D6:D25)</f>
        <v/>
      </c>
    </row>
    <row r="9">
      <c r="A9" s="3" t="inlineStr">
        <is>
          <t>Mix-weighted contribution</t>
        </is>
      </c>
      <c r="B9" s="4">
        <f>SUM(Inputs!I6:I25)</f>
        <v/>
      </c>
    </row>
    <row r="10">
      <c r="A10" s="3" t="inlineStr">
        <is>
          <t>Largest gain</t>
        </is>
      </c>
      <c r="B10" s="4">
        <f>IFERROR(MAX(Inputs!G6:G25),"")</f>
        <v/>
      </c>
    </row>
    <row r="11">
      <c r="A11" s="3" t="inlineStr">
        <is>
          <t>Largest fall</t>
        </is>
      </c>
      <c r="B11" s="4">
        <f>IFERROR(MIN(Inputs!G6:G25),"")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Product Mix Analysis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2026-09-09T05:48:08Z</dcterms:created>
  <dcterms:modified xmlns:dcterms="http://purl.org/dc/terms/" xmlns:xsi="http://www.w3.org/2001/XMLSchema-instance" xsi:type="dcterms:W3CDTF">2026-09-09T05:48:08Z</dcterms:modified>
</cp:coreProperties>
</file>