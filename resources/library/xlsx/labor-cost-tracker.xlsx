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765e34a87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4e9bac3f82f46fa"/>
    <x:sheet xmlns:r="http://schemas.openxmlformats.org/officeDocument/2006/relationships" name="Summary" sheetId="2" r:id="R7819cbb8c6d5492e"/>
    <x:sheet xmlns:r="http://schemas.openxmlformats.org/officeDocument/2006/relationships" name="Instructions" sheetId="3" r:id="R2e0f7e982be7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f6e434c3ee4277" /><Relationship Type="http://schemas.openxmlformats.org/officeDocument/2006/relationships/theme" Target="/xl/theme/theme1.xml" Id="R75c7df66a0e24630" /><Relationship Type="http://schemas.openxmlformats.org/officeDocument/2006/relationships/sharedStrings" Target="/xl/sharedStrings.xml" Id="R457dce375ec647f9" /><Relationship Type="http://schemas.openxmlformats.org/officeDocument/2006/relationships/worksheet" Target="/xl/worksheets/sheet1.xml" Id="Ra4e9bac3f82f46fa" /><Relationship Type="http://schemas.openxmlformats.org/officeDocument/2006/relationships/worksheet" Target="/xl/worksheets/sheet2.xml" Id="R7819cbb8c6d5492e" /><Relationship Type="http://schemas.openxmlformats.org/officeDocument/2006/relationships/worksheet" Target="/xl/worksheets/sheet3.xml" Id="R2e0f7e982be747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ac647e87a8f4e2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b99bc65f4d0040e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5ab2807120d84d34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b0e07997-e03b-4003-8f21-79ba8a5c5a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c647e87a8f4e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c7d1c11f-c00d-42b1-a8af-5358532c1b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9bc65f4d0040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71def452-8a69-4c80-8adb-d2bf6ed0e2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b2807120d84d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cfcd4768984b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ac9247392fd4d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2bdb24bd8234b75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Labor Cost Tracker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Period</x:v>
      </x:c>
      <x:c r="B5" s="8" t="str">
        <x:v>Sales</x:v>
      </x:c>
      <x:c r="C5" s="8" t="str">
        <x:v>Regular payroll</x:v>
      </x:c>
      <x:c r="D5" s="8" t="str">
        <x:v>Overtime</x:v>
      </x:c>
      <x:c r="E5" s="8" t="str">
        <x:v>Benefits</x:v>
      </x:c>
      <x:c r="F5" s="8" t="str">
        <x:v>Total labor</x:v>
      </x:c>
      <x:c r="G5" s="8" t="str">
        <x:v>Labor %</x:v>
      </x:c>
      <x:c r="H5" s="8" t="str">
        <x:v>Notes</x:v>
      </x:c>
      <x:c r="I5" s="1"/>
      <x:c r="J5" s="1"/>
      <x:c r="K5" s="1"/>
    </x:row>
    <x:row r="6" ht="15" hidden="0" customHeight="1">
      <x:c r="A6" s="15" t="str">
        <x:v>Jan</x:v>
      </x:c>
      <x:c r="B6" s="16" t="n">
        <x:v>250000</x:v>
      </x:c>
      <x:c r="C6" s="16" t="n">
        <x:v>50000</x:v>
      </x:c>
      <x:c r="D6" s="16" t="n">
        <x:v>5000</x:v>
      </x:c>
      <x:c r="E6" s="16" t="n">
        <x:f>IFERROR(SUM(C6:E6),"")</x:f>
        <x:v>55000</x:v>
      </x:c>
      <x:c r="F6" s="16" t="n">
        <x:f>IFERROR(SUM(C6:E6),"")</x:f>
        <x:v>110000</x:v>
      </x:c>
      <x:c r="G6" s="16" t="n">
        <x:f>IFERROR(F6/B6,"")</x:f>
        <x:v>0.44</x:v>
      </x:c>
      <x:c r="H6" s="15" t="str"/>
      <x:c r="I6" s="1"/>
      <x:c r="J6" s="1"/>
      <x:c r="K6" s="1"/>
    </x:row>
    <x:row r="7" ht="15" hidden="0" customHeight="1">
      <x:c r="A7" s="15" t="str">
        <x:v>Feb</x:v>
      </x:c>
      <x:c r="B7" s="16" t="n">
        <x:v>265000</x:v>
      </x:c>
      <x:c r="C7" s="16" t="n">
        <x:v>51000</x:v>
      </x:c>
      <x:c r="D7" s="16" t="n">
        <x:v>4500</x:v>
      </x:c>
      <x:c r="E7" s="16" t="n">
        <x:v>7650</x:v>
      </x:c>
      <x:c r="F7" s="16" t="n">
        <x:f>IFERROR(SUM(C7:E7),"")</x:f>
        <x:v>63150</x:v>
      </x:c>
      <x:c r="G7" s="16" t="n">
        <x:f>IFERROR(F7/B7,"")</x:f>
        <x:v>0.23830188679245284</x:v>
      </x:c>
      <x:c r="H7" s="15" t="str"/>
      <x:c r="I7" s="1"/>
      <x:c r="J7" s="1"/>
      <x:c r="K7" s="1"/>
    </x:row>
    <x:row r="8" ht="15" hidden="0" customHeight="1">
      <x:c r="A8" s="15" t="str">
        <x:v>Mar</x:v>
      </x:c>
      <x:c r="B8" s="16" t="n">
        <x:v>280000</x:v>
      </x:c>
      <x:c r="C8" s="16" t="n">
        <x:v>52000</x:v>
      </x:c>
      <x:c r="D8" s="16" t="n">
        <x:v>4000</x:v>
      </x:c>
      <x:c r="E8" s="16" t="n">
        <x:v>7800</x:v>
      </x:c>
      <x:c r="F8" s="16" t="n">
        <x:f>IFERROR(SUM(C8:E8),"")</x:f>
        <x:v>63800</x:v>
      </x:c>
      <x:c r="G8" s="16" t="n">
        <x:f>IFERROR(F8/B8,"")</x:f>
        <x:v>0.22785714285714287</x:v>
      </x:c>
      <x:c r="H8" s="15" t="str"/>
      <x:c r="I8" s="1"/>
      <x:c r="J8" s="1"/>
      <x:c r="K8" s="1"/>
    </x:row>
    <x:row r="9" ht="15" hidden="0" customHeight="1">
      <x:c r="A9" s="15"/>
      <x:c r="B9" s="16"/>
      <x:c r="C9" s="16"/>
      <x:c r="D9" s="16"/>
      <x:c r="E9" s="16"/>
      <x:c r="F9" s="16" t="n">
        <x:f>IFERROR(SUM(C9:E9),"")</x:f>
        <x:v>0</x:v>
      </x:c>
      <x:c r="G9" s="16" t="str">
        <x:f>IFERROR(F9/B9,"")</x:f>
      </x:c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 t="n">
        <x:f>IFERROR(SUM(C10:E10),"")</x:f>
        <x:v>0</x:v>
      </x:c>
      <x:c r="G10" s="16" t="str">
        <x:f>IFERROR(F10/B10,"")</x:f>
      </x:c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 t="n">
        <x:f>IFERROR(SUM(C11:E11),"")</x:f>
        <x:v>0</x:v>
      </x:c>
      <x:c r="G11" s="16" t="str">
        <x:f>IFERROR(F11/B11,"")</x:f>
      </x:c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 t="n">
        <x:f>IFERROR(SUM(C12:E12),"")</x:f>
        <x:v>0</x:v>
      </x:c>
      <x:c r="G12" s="16" t="str">
        <x:f>IFERROR(F12/B12,"")</x:f>
      </x:c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 t="n">
        <x:f>IFERROR(SUM(C13:E13),"")</x:f>
        <x:v>0</x:v>
      </x:c>
      <x:c r="G13" s="16" t="str">
        <x:f>IFERROR(F13/B13,"")</x:f>
      </x:c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 t="n">
        <x:f>IFERROR(SUM(C14:E14),"")</x:f>
        <x:v>0</x:v>
      </x:c>
      <x:c r="G14" s="16" t="str">
        <x:f>IFERROR(F14/B14,"")</x:f>
      </x:c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 t="n">
        <x:f>IFERROR(SUM(C15:E15),"")</x:f>
        <x:v>0</x:v>
      </x:c>
      <x:c r="G15" s="16" t="str">
        <x:f>IFERROR(F15/B15,"")</x:f>
      </x:c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 t="n">
        <x:f>IFERROR(SUM(C16:E16),"")</x:f>
        <x:v>0</x:v>
      </x:c>
      <x:c r="G16" s="16" t="str">
        <x:f>IFERROR(F16/B16,"")</x:f>
      </x:c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 t="n">
        <x:f>IFERROR(SUM(C17:E17),"")</x:f>
        <x:v>0</x:v>
      </x:c>
      <x:c r="G17" s="16" t="str">
        <x:f>IFERROR(F17/B17,"")</x:f>
      </x:c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 t="n">
        <x:f>IFERROR(SUM(C18:E18),"")</x:f>
        <x:v>0</x:v>
      </x:c>
      <x:c r="G18" s="16" t="str">
        <x:f>IFERROR(F18/B18,"")</x:f>
      </x:c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 t="n">
        <x:f>IFERROR(SUM(C19:E19),"")</x:f>
        <x:v>0</x:v>
      </x:c>
      <x:c r="G19" s="16" t="str">
        <x:f>IFERROR(F19/B19,"")</x:f>
      </x:c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 t="n">
        <x:f>IFERROR(SUM(C20:E20),"")</x:f>
        <x:v>0</x:v>
      </x:c>
      <x:c r="G20" s="16" t="str">
        <x:f>IFERROR(F20/B20,"")</x:f>
      </x:c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 t="n">
        <x:f>IFERROR(SUM(C21:E21),"")</x:f>
        <x:v>0</x:v>
      </x:c>
      <x:c r="G21" s="16" t="str">
        <x:f>IFERROR(F21/B21,"")</x:f>
      </x:c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 t="n">
        <x:f>IFERROR(SUM(C22:E22),"")</x:f>
        <x:v>0</x:v>
      </x:c>
      <x:c r="G22" s="16" t="str">
        <x:f>IFERROR(F22/B22,"")</x:f>
      </x:c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 t="n">
        <x:f>IFERROR(SUM(C23:E23),"")</x:f>
        <x:v>0</x:v>
      </x:c>
      <x:c r="G23" s="16" t="str">
        <x:f>IFERROR(F23/B23,"")</x:f>
      </x:c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 t="n">
        <x:f>IFERROR(SUM(C24:E24),"")</x:f>
        <x:v>0</x:v>
      </x:c>
      <x:c r="G24" s="16" t="str">
        <x:f>IFERROR(F24/B24,"")</x:f>
      </x:c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 t="n">
        <x:f>IFERROR(SUM(C25:E25),"")</x:f>
        <x:v>0</x:v>
      </x:c>
      <x:c r="G25" s="16" t="str">
        <x:f>IFERROR(F25/B25,"")</x:f>
      </x:c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7acfcd4768984b44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Labor Cost Tracker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21" t="str">
        <x:v>Rows entered</x:v>
      </x:c>
      <x:c r="B6" s="22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21" t="str">
        <x:v>Average rate</x:v>
      </x:c>
      <x:c r="B7" s="23" t="n">
        <x:f>AVERAGE(Inputs!G6:G25)</x:f>
        <x:v>0.30205300988319855</x:v>
      </x:c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9ac9247392fd4df1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Labor Cost Tracker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9" t="str">
        <x:v>How to use this workbook</x:v>
      </x:c>
      <x:c r="B5" s="29"/>
      <x:c r="C5" s="29"/>
      <x:c r="D5" s="29"/>
      <x:c r="E5" s="29"/>
      <x:c r="F5" s="29"/>
      <x:c r="G5" s="29"/>
      <x:c r="H5" s="29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30" t="n">
        <x:v>1</x:v>
      </x:c>
      <x:c r="B7" s="31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30" t="n">
        <x:v>2</x:v>
      </x:c>
      <x:c r="B8" s="31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30" t="n">
        <x:v>3</x:v>
      </x:c>
      <x:c r="B9" s="31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30" t="n">
        <x:v>4</x:v>
      </x:c>
      <x:c r="B10" s="31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42bdb24bd8234b75"/>
</x:worksheet>
</file>