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32fec4e76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0af6da242734478"/>
    <x:sheet xmlns:r="http://schemas.openxmlformats.org/officeDocument/2006/relationships" name="Summary" sheetId="2" r:id="Ra57097763ab1486f"/>
    <x:sheet xmlns:r="http://schemas.openxmlformats.org/officeDocument/2006/relationships" name="Instructions" sheetId="3" r:id="Rb6973dfa9ab7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afe36ecca4ff9" /><Relationship Type="http://schemas.openxmlformats.org/officeDocument/2006/relationships/theme" Target="/xl/theme/theme1.xml" Id="Rcfed614d9d674206" /><Relationship Type="http://schemas.openxmlformats.org/officeDocument/2006/relationships/sharedStrings" Target="/xl/sharedStrings.xml" Id="R95a9172e14ca41a3" /><Relationship Type="http://schemas.openxmlformats.org/officeDocument/2006/relationships/worksheet" Target="/xl/worksheets/sheet1.xml" Id="R80af6da242734478" /><Relationship Type="http://schemas.openxmlformats.org/officeDocument/2006/relationships/worksheet" Target="/xl/worksheets/sheet2.xml" Id="Ra57097763ab1486f" /><Relationship Type="http://schemas.openxmlformats.org/officeDocument/2006/relationships/worksheet" Target="/xl/worksheets/sheet3.xml" Id="Rb6973dfa9ab749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ddfa9b7f5d948d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45fcb7b0e6544e3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9fc33daf6af34a1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6fbea37-548d-4d7f-8a89-a30e00c84e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fa9b7f5d948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6038139-7ee2-4473-9da0-0424c1c8a3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cb7b0e6544e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abf84789-1463-40bd-83e1-ba418e93fe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c33daf6af34a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73332b90ba4d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bd845ab9f3d49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3e7bd95607c445d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CAPEX Budget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Category</x:v>
      </x:c>
      <x:c r="B5" s="8" t="str">
        <x:v>Item</x:v>
      </x:c>
      <x:c r="C5" s="8" t="str">
        <x:v>Quantity</x:v>
      </x:c>
      <x:c r="D5" s="8" t="str">
        <x:v>Unit cost (SAR)</x:v>
      </x:c>
      <x:c r="E5" s="8" t="str">
        <x:v>Total (SAR)</x:v>
      </x:c>
      <x:c r="F5" s="8" t="str">
        <x:v>Timing</x:v>
      </x:c>
      <x:c r="G5" s="8" t="str">
        <x:v>Owner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Fit-out</x:v>
      </x:c>
      <x:c r="B6" s="16" t="str">
        <x:v>Construction</x:v>
      </x:c>
      <x:c r="C6" s="16" t="n">
        <x:v>1</x:v>
      </x:c>
      <x:c r="D6" s="16" t="n">
        <x:v>250000</x:v>
      </x:c>
      <x:c r="E6" s="16" t="n">
        <x:f>IFERROR(C6*D6,"")</x:f>
        <x:v>250000</x:v>
      </x:c>
      <x:c r="F6" s="16" t="str">
        <x:v>Before opening</x:v>
      </x:c>
      <x:c r="G6" s="16" t="str">
        <x:v>Owner</x:v>
      </x:c>
      <x:c r="H6" s="15" t="str">
        <x:v>Replace with quotes</x:v>
      </x:c>
      <x:c r="I6" s="1"/>
      <x:c r="J6" s="1"/>
      <x:c r="K6" s="1"/>
    </x:row>
    <x:row r="7" ht="15" hidden="0" customHeight="1">
      <x:c r="A7" s="15" t="str">
        <x:v>Kitchen</x:v>
      </x:c>
      <x:c r="B7" s="16" t="str">
        <x:v>Cooking equipment</x:v>
      </x:c>
      <x:c r="C7" s="16" t="n">
        <x:v>1</x:v>
      </x:c>
      <x:c r="D7" s="16" t="n">
        <x:v>180000</x:v>
      </x:c>
      <x:c r="E7" s="16" t="n">
        <x:f>IFERROR(C7*D7,"")</x:f>
        <x:v>180000</x:v>
      </x:c>
      <x:c r="F7" s="16" t="str">
        <x:v>Before opening</x:v>
      </x:c>
      <x:c r="G7" s="16" t="str">
        <x:v>Operations</x:v>
      </x:c>
      <x:c r="H7" s="15" t="str">
        <x:v>Separate supply and installation</x:v>
      </x:c>
      <x:c r="I7" s="1"/>
      <x:c r="J7" s="1"/>
      <x:c r="K7" s="1"/>
    </x:row>
    <x:row r="8" ht="15" hidden="0" customHeight="1">
      <x:c r="A8" s="15" t="str">
        <x:v>Technology</x:v>
      </x:c>
      <x:c r="B8" s="16" t="str">
        <x:v>POS and network</x:v>
      </x:c>
      <x:c r="C8" s="16" t="n">
        <x:v>1</x:v>
      </x:c>
      <x:c r="D8" s="16" t="n">
        <x:v>30000</x:v>
      </x:c>
      <x:c r="E8" s="16" t="n">
        <x:f>IFERROR(C8*D8,"")</x:f>
        <x:v>30000</x:v>
      </x:c>
      <x:c r="F8" s="16" t="str">
        <x:v>Before opening</x:v>
      </x:c>
      <x:c r="G8" s="16" t="str">
        <x:v>Finance</x:v>
      </x:c>
      <x:c r="H8" s="15" t="str">
        <x:v>Include licences</x:v>
      </x:c>
      <x:c r="I8" s="1"/>
      <x:c r="J8" s="1"/>
      <x:c r="K8" s="1"/>
    </x:row>
    <x:row r="9" ht="15" hidden="0" customHeight="1">
      <x:c r="A9" s="15" t="str">
        <x:v>Working capital</x:v>
      </x:c>
      <x:c r="B9" s="16" t="str">
        <x:v>Opening reserve</x:v>
      </x:c>
      <x:c r="C9" s="16" t="n">
        <x:v>1</x:v>
      </x:c>
      <x:c r="D9" s="16" t="n">
        <x:v>150000</x:v>
      </x:c>
      <x:c r="E9" s="16" t="n">
        <x:f>IFERROR(C9*D9,"")</x:f>
        <x:v>150000</x:v>
      </x:c>
      <x:c r="F9" s="16" t="str">
        <x:v>Opening</x:v>
      </x:c>
      <x:c r="G9" s="16" t="str">
        <x:v>Owner</x:v>
      </x:c>
      <x:c r="H9" s="15" t="str">
        <x:v>Set from cash-flow need</x:v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 t="n">
        <x:f>IFERROR(C10*D10,"")</x:f>
        <x:v>0</x:v>
      </x:c>
      <x:c r="F10" s="16"/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 t="n">
        <x:f>IFERROR(C11*D11,"")</x:f>
        <x:v>0</x:v>
      </x:c>
      <x:c r="F11" s="16"/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 t="n">
        <x:f>IFERROR(C12*D12,"")</x:f>
        <x:v>0</x:v>
      </x:c>
      <x:c r="F12" s="16"/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 t="n">
        <x:f>IFERROR(C13*D13,"")</x:f>
        <x:v>0</x:v>
      </x:c>
      <x:c r="F13" s="16"/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 t="n">
        <x:f>IFERROR(C14*D14,"")</x:f>
        <x:v>0</x:v>
      </x:c>
      <x:c r="F14" s="16"/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 t="n">
        <x:f>IFERROR(C15*D15,"")</x:f>
        <x:v>0</x:v>
      </x:c>
      <x:c r="F15" s="16"/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 t="n">
        <x:f>IFERROR(C16*D16,"")</x:f>
        <x:v>0</x:v>
      </x:c>
      <x:c r="F16" s="16"/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 t="n">
        <x:f>IFERROR(C17*D17,"")</x:f>
        <x:v>0</x:v>
      </x:c>
      <x:c r="F17" s="16"/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 t="n">
        <x:f>IFERROR(C18*D18,"")</x:f>
        <x:v>0</x:v>
      </x:c>
      <x:c r="F18" s="16"/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 t="n">
        <x:f>IFERROR(C19*D19,"")</x:f>
        <x:v>0</x:v>
      </x:c>
      <x:c r="F19" s="16"/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 t="n">
        <x:f>IFERROR(C20*D20,"")</x:f>
        <x:v>0</x:v>
      </x:c>
      <x:c r="F20" s="16"/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 t="n">
        <x:f>IFERROR(C21*D21,"")</x:f>
        <x:v>0</x:v>
      </x:c>
      <x:c r="F21" s="16"/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 t="n">
        <x:f>IFERROR(C22*D22,"")</x:f>
        <x:v>0</x:v>
      </x:c>
      <x:c r="F22" s="16"/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 t="n">
        <x:f>IFERROR(C23*D23,"")</x:f>
        <x:v>0</x:v>
      </x:c>
      <x:c r="F23" s="16"/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 t="n">
        <x:f>IFERROR(C24*D24,"")</x:f>
        <x:v>0</x:v>
      </x:c>
      <x:c r="F24" s="16"/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 t="n">
        <x:f>IFERROR(C25*D25,"")</x:f>
        <x:v>0</x:v>
      </x:c>
      <x:c r="F25" s="16"/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c973332b90ba4d7b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Restaurant CAPEX Budget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4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9" t="str">
        <x:v>Total budget</x:v>
      </x:c>
      <x:c r="B7" s="20" t="n">
        <x:f>SUM(Inputs!E6:E25)</x:f>
        <x:v>610000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cbd845ab9f3d4902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CAPEX Budget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73e7bd95607c445d"/>
</x:worksheet>
</file>