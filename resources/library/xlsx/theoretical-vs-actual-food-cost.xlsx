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ffa47c780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47cba058fc645d9"/>
    <x:sheet xmlns:r="http://schemas.openxmlformats.org/officeDocument/2006/relationships" name="Summary" sheetId="2" r:id="R2d50c9b05af94d10"/>
    <x:sheet xmlns:r="http://schemas.openxmlformats.org/officeDocument/2006/relationships" name="Instructions" sheetId="3" r:id="R1d6f6f50f588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0a6b9acb74158" /><Relationship Type="http://schemas.openxmlformats.org/officeDocument/2006/relationships/theme" Target="/xl/theme/theme1.xml" Id="R155ca0d2ff3d488e" /><Relationship Type="http://schemas.openxmlformats.org/officeDocument/2006/relationships/sharedStrings" Target="/xl/sharedStrings.xml" Id="Rc340e8315d7f41f4" /><Relationship Type="http://schemas.openxmlformats.org/officeDocument/2006/relationships/worksheet" Target="/xl/worksheets/sheet1.xml" Id="R847cba058fc645d9" /><Relationship Type="http://schemas.openxmlformats.org/officeDocument/2006/relationships/worksheet" Target="/xl/worksheets/sheet2.xml" Id="R2d50c9b05af94d10" /><Relationship Type="http://schemas.openxmlformats.org/officeDocument/2006/relationships/worksheet" Target="/xl/worksheets/sheet3.xml" Id="R1d6f6f50f5884e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6edca530bc9439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2e88917a4e60450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70314e861fc046c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68429f6-f469-41e6-a572-25a021fe02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edca530bc943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bb57c76-6c86-4b94-9264-7785dae271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88917a4e60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94edc05-ee65-400d-a289-e4f25a611a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314e861fc046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169bf209324e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e5bec52b87141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efadb3a9055479b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Theoretical vs Actual Food Cost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Period</x:v>
      </x:c>
      <x:c r="B5" s="8" t="str">
        <x:v>Sales</x:v>
      </x:c>
      <x:c r="C5" s="8" t="str">
        <x:v>Theoretical food cost</x:v>
      </x:c>
      <x:c r="D5" s="8" t="str">
        <x:v>Actual food cost</x:v>
      </x:c>
      <x:c r="E5" s="8" t="str">
        <x:v>Variance</x:v>
      </x:c>
      <x:c r="F5" s="8" t="str">
        <x:v>Theoretical %</x:v>
      </x:c>
      <x:c r="G5" s="8" t="str">
        <x:v>Actual %</x:v>
      </x:c>
      <x:c r="H5" s="8" t="str">
        <x:v>Action</x:v>
      </x:c>
      <x:c r="I5" s="1"/>
      <x:c r="J5" s="1"/>
      <x:c r="K5" s="1"/>
    </x:row>
    <x:row r="6" ht="15" hidden="0" customHeight="1">
      <x:c r="A6" s="15" t="str">
        <x:v>Jan</x:v>
      </x:c>
      <x:c r="B6" s="16" t="n">
        <x:v>250000</x:v>
      </x:c>
      <x:c r="C6" s="16" t="n">
        <x:v>75000</x:v>
      </x:c>
      <x:c r="D6" s="16" t="n">
        <x:v>81000</x:v>
      </x:c>
      <x:c r="E6" s="16" t="n">
        <x:f>IFERROR(D6-C6,"")</x:f>
        <x:v>6000</x:v>
      </x:c>
      <x:c r="F6" s="16" t="n">
        <x:f>IFERROR(C6/B6,"")</x:f>
        <x:v>0.3</x:v>
      </x:c>
      <x:c r="G6" s="16" t="n">
        <x:f>IFERROR(D6/B6,"")</x:f>
        <x:v>0.324</x:v>
      </x:c>
      <x:c r="H6" s="15" t="str">
        <x:v>Investigate variance</x:v>
      </x:c>
      <x:c r="I6" s="1"/>
      <x:c r="J6" s="1"/>
      <x:c r="K6" s="1"/>
    </x:row>
    <x:row r="7" ht="15" hidden="0" customHeight="1">
      <x:c r="A7" s="15" t="str">
        <x:v>Feb</x:v>
      </x:c>
      <x:c r="B7" s="16" t="n">
        <x:v>265000</x:v>
      </x:c>
      <x:c r="C7" s="16" t="n">
        <x:v>79500</x:v>
      </x:c>
      <x:c r="D7" s="16" t="n">
        <x:v>82500</x:v>
      </x:c>
      <x:c r="E7" s="16" t="n">
        <x:f>IFERROR(D7-C7,"")</x:f>
        <x:v>3000</x:v>
      </x:c>
      <x:c r="F7" s="16" t="n">
        <x:f>IFERROR(C7/B7,"")</x:f>
        <x:v>0.3</x:v>
      </x:c>
      <x:c r="G7" s="16" t="n">
        <x:f>IFERROR(D7/B7,"")</x:f>
        <x:v>0.3113207547169811</x:v>
      </x:c>
      <x:c r="H7" s="15" t="str"/>
      <x:c r="I7" s="1"/>
      <x:c r="J7" s="1"/>
      <x:c r="K7" s="1"/>
    </x:row>
    <x:row r="8" ht="15" hidden="0" customHeight="1">
      <x:c r="A8" s="15" t="str">
        <x:v>Mar</x:v>
      </x:c>
      <x:c r="B8" s="16" t="n">
        <x:v>280000</x:v>
      </x:c>
      <x:c r="C8" s="16" t="n">
        <x:v>84000</x:v>
      </x:c>
      <x:c r="D8" s="16" t="n">
        <x:v>85000</x:v>
      </x:c>
      <x:c r="E8" s="16" t="n">
        <x:f>IFERROR(D8-C8,"")</x:f>
        <x:v>1000</x:v>
      </x:c>
      <x:c r="F8" s="16" t="n">
        <x:f>IFERROR(C8/B8,"")</x:f>
        <x:v>0.3</x:v>
      </x:c>
      <x:c r="G8" s="16" t="n">
        <x:f>IFERROR(D8/B8,"")</x:f>
        <x:v>0.30357142857142855</x:v>
      </x:c>
      <x:c r="H8" s="15" t="str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 t="n">
        <x:f>IFERROR(D9-C9,"")</x:f>
        <x:v>0</x:v>
      </x:c>
      <x:c r="F9" s="16" t="str">
        <x:f>IFERROR(C9/B9,"")</x:f>
      </x:c>
      <x:c r="G9" s="16" t="str">
        <x:f>IFERROR(D9/B9,"")</x:f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 t="n">
        <x:f>IFERROR(D10-C10,"")</x:f>
        <x:v>0</x:v>
      </x:c>
      <x:c r="F10" s="16" t="str">
        <x:f>IFERROR(C10/B10,"")</x:f>
      </x:c>
      <x:c r="G10" s="16" t="str">
        <x:f>IFERROR(D10/B10,"")</x:f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 t="n">
        <x:f>IFERROR(D11-C11,"")</x:f>
        <x:v>0</x:v>
      </x:c>
      <x:c r="F11" s="16" t="str">
        <x:f>IFERROR(C11/B11,"")</x:f>
      </x:c>
      <x:c r="G11" s="16" t="str">
        <x:f>IFERROR(D11/B11,"")</x:f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 t="n">
        <x:f>IFERROR(D12-C12,"")</x:f>
        <x:v>0</x:v>
      </x:c>
      <x:c r="F12" s="16" t="str">
        <x:f>IFERROR(C12/B12,"")</x:f>
      </x:c>
      <x:c r="G12" s="16" t="str">
        <x:f>IFERROR(D12/B12,"")</x:f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 t="n">
        <x:f>IFERROR(D13-C13,"")</x:f>
        <x:v>0</x:v>
      </x:c>
      <x:c r="F13" s="16" t="str">
        <x:f>IFERROR(C13/B13,"")</x:f>
      </x:c>
      <x:c r="G13" s="16" t="str">
        <x:f>IFERROR(D13/B13,"")</x:f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 t="n">
        <x:f>IFERROR(D14-C14,"")</x:f>
        <x:v>0</x:v>
      </x:c>
      <x:c r="F14" s="16" t="str">
        <x:f>IFERROR(C14/B14,"")</x:f>
      </x:c>
      <x:c r="G14" s="16" t="str">
        <x:f>IFERROR(D14/B14,"")</x:f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 t="n">
        <x:f>IFERROR(D15-C15,"")</x:f>
        <x:v>0</x:v>
      </x:c>
      <x:c r="F15" s="16" t="str">
        <x:f>IFERROR(C15/B15,"")</x:f>
      </x:c>
      <x:c r="G15" s="16" t="str">
        <x:f>IFERROR(D15/B15,"")</x:f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 t="n">
        <x:f>IFERROR(D16-C16,"")</x:f>
        <x:v>0</x:v>
      </x:c>
      <x:c r="F16" s="16" t="str">
        <x:f>IFERROR(C16/B16,"")</x:f>
      </x:c>
      <x:c r="G16" s="16" t="str">
        <x:f>IFERROR(D16/B16,"")</x:f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 t="n">
        <x:f>IFERROR(D17-C17,"")</x:f>
        <x:v>0</x:v>
      </x:c>
      <x:c r="F17" s="16" t="str">
        <x:f>IFERROR(C17/B17,"")</x:f>
      </x:c>
      <x:c r="G17" s="16" t="str">
        <x:f>IFERROR(D17/B17,"")</x:f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 t="n">
        <x:f>IFERROR(D18-C18,"")</x:f>
        <x:v>0</x:v>
      </x:c>
      <x:c r="F18" s="16" t="str">
        <x:f>IFERROR(C18/B18,"")</x:f>
      </x:c>
      <x:c r="G18" s="16" t="str">
        <x:f>IFERROR(D18/B18,"")</x:f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 t="n">
        <x:f>IFERROR(D19-C19,"")</x:f>
        <x:v>0</x:v>
      </x:c>
      <x:c r="F19" s="16" t="str">
        <x:f>IFERROR(C19/B19,"")</x:f>
      </x:c>
      <x:c r="G19" s="16" t="str">
        <x:f>IFERROR(D19/B19,"")</x:f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 t="n">
        <x:f>IFERROR(D20-C20,"")</x:f>
        <x:v>0</x:v>
      </x:c>
      <x:c r="F20" s="16" t="str">
        <x:f>IFERROR(C20/B20,"")</x:f>
      </x:c>
      <x:c r="G20" s="16" t="str">
        <x:f>IFERROR(D20/B20,"")</x:f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 t="n">
        <x:f>IFERROR(D21-C21,"")</x:f>
        <x:v>0</x:v>
      </x:c>
      <x:c r="F21" s="16" t="str">
        <x:f>IFERROR(C21/B21,"")</x:f>
      </x:c>
      <x:c r="G21" s="16" t="str">
        <x:f>IFERROR(D21/B21,"")</x:f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 t="n">
        <x:f>IFERROR(D22-C22,"")</x:f>
        <x:v>0</x:v>
      </x:c>
      <x:c r="F22" s="16" t="str">
        <x:f>IFERROR(C22/B22,"")</x:f>
      </x:c>
      <x:c r="G22" s="16" t="str">
        <x:f>IFERROR(D22/B22,"")</x:f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 t="n">
        <x:f>IFERROR(D23-C23,"")</x:f>
        <x:v>0</x:v>
      </x:c>
      <x:c r="F23" s="16" t="str">
        <x:f>IFERROR(C23/B23,"")</x:f>
      </x:c>
      <x:c r="G23" s="16" t="str">
        <x:f>IFERROR(D23/B23,"")</x:f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 t="n">
        <x:f>IFERROR(D24-C24,"")</x:f>
        <x:v>0</x:v>
      </x:c>
      <x:c r="F24" s="16" t="str">
        <x:f>IFERROR(C24/B24,"")</x:f>
      </x:c>
      <x:c r="G24" s="16" t="str">
        <x:f>IFERROR(D24/B24,"")</x:f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 t="n">
        <x:f>IFERROR(D25-C25,"")</x:f>
        <x:v>0</x:v>
      </x:c>
      <x:c r="F25" s="16" t="str">
        <x:f>IFERROR(C25/B25,"")</x:f>
      </x:c>
      <x:c r="G25" s="16" t="str">
        <x:f>IFERROR(D25/B25,"")</x:f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6e169bf209324e2b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Theoretical vs Actual Food Cost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21" t="str">
        <x:v>Rows entered</x:v>
      </x:c>
      <x:c r="B6" s="22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21" t="str">
        <x:v>Average rate</x:v>
      </x:c>
      <x:c r="B7" s="23" t="n">
        <x:f>AVERAGE(Inputs!G6:G25)</x:f>
        <x:v>0.31296406109613656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7e5bec52b87141cf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Theoretical vs Actual Food Cost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9" t="str">
        <x:v>How to use this workbook</x:v>
      </x:c>
      <x:c r="B5" s="29"/>
      <x:c r="C5" s="29"/>
      <x:c r="D5" s="29"/>
      <x:c r="E5" s="29"/>
      <x:c r="F5" s="29"/>
      <x:c r="G5" s="29"/>
      <x:c r="H5" s="29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30" t="n">
        <x:v>1</x:v>
      </x:c>
      <x:c r="B7" s="31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30" t="n">
        <x:v>2</x:v>
      </x:c>
      <x:c r="B8" s="31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30" t="n">
        <x:v>3</x:v>
      </x:c>
      <x:c r="B9" s="31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30" t="n">
        <x:v>4</x:v>
      </x:c>
      <x:c r="B10" s="31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2efadb3a9055479b"/>
</x:worksheet>
</file>